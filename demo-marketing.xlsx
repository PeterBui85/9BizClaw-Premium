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  <sheet name="Content Calendar" sheetId="2" r:id="rId2"/>
    <sheet name="Performance" sheetId="3" r:id="rId3"/>
    <sheet name="Budget" sheetId="4" r:id="rId4"/>
  </sheets>
  <calcPr calcId="124519" fullCalcOnLoad="1"/>
</workbook>
</file>

<file path=xl/sharedStrings.xml><?xml version="1.0" encoding="utf-8"?>
<sst xmlns="http://schemas.openxmlformats.org/spreadsheetml/2006/main" count="143" uniqueCount="122">
  <si>
    <t>Ten Campaign</t>
  </si>
  <si>
    <t>Kenh</t>
  </si>
  <si>
    <t>Ngay BD</t>
  </si>
  <si>
    <t>Ngay KT</t>
  </si>
  <si>
    <t>Ngan Sach</t>
  </si>
  <si>
    <t>Chi Tieu</t>
  </si>
  <si>
    <t>Loi Nhuan</t>
  </si>
  <si>
    <t>Status</t>
  </si>
  <si>
    <t>Ra mat san pham moi Q2</t>
  </si>
  <si>
    <t>Facebook</t>
  </si>
  <si>
    <t>15/03/2026</t>
  </si>
  <si>
    <t>15/04/2026</t>
  </si>
  <si>
    <t>Hoan thanh</t>
  </si>
  <si>
    <t>Khuyen mai mua xuan</t>
  </si>
  <si>
    <t>Zalo</t>
  </si>
  <si>
    <t>01/04/2026</t>
  </si>
  <si>
    <t>30/04/2026</t>
  </si>
  <si>
    <t>Chien dich thu hut lead</t>
  </si>
  <si>
    <t>10/04/2026</t>
  </si>
  <si>
    <t>10/05/2026</t>
  </si>
  <si>
    <t>Dang chay</t>
  </si>
  <si>
    <t>Noi dung thuong xuyen</t>
  </si>
  <si>
    <t>Content</t>
  </si>
  <si>
    <t>01/05/2026</t>
  </si>
  <si>
    <t>31/05/2026</t>
  </si>
  <si>
    <t>Event workshop 05/2026</t>
  </si>
  <si>
    <t>Event</t>
  </si>
  <si>
    <t>20/05/2026</t>
  </si>
  <si>
    <t>25/05/2026</t>
  </si>
  <si>
    <t>Retargeting khach cu</t>
  </si>
  <si>
    <t>15/05/2026</t>
  </si>
  <si>
    <t>Da ket thuc</t>
  </si>
  <si>
    <t>SEO content Q2</t>
  </si>
  <si>
    <t>30/06/2026</t>
  </si>
  <si>
    <t>TONG</t>
  </si>
  <si>
    <t>Tong chi tieu:</t>
  </si>
  <si>
    <t>Tong loi nhuan:</t>
  </si>
  <si>
    <t>LICH CONTENT - THANG 5 / 2026</t>
  </si>
  <si>
    <t>T2</t>
  </si>
  <si>
    <t>T3</t>
  </si>
  <si>
    <t>T4</t>
  </si>
  <si>
    <t>T5</t>
  </si>
  <si>
    <t>T6</t>
  </si>
  <si>
    <t>T7</t>
  </si>
  <si>
    <t>CN</t>
  </si>
  <si>
    <t>[FB] Post san pham</t>
  </si>
  <si>
    <t>[Web] Blog SEO</t>
  </si>
  <si>
    <t>[Zalo] Khuyen mai</t>
  </si>
  <si>
    <t>[FB] Reel video</t>
  </si>
  <si>
    <t>[Zalo] Customer story</t>
  </si>
  <si>
    <t>[FB] Live Q&amp;A</t>
  </si>
  <si>
    <t>[Web] Case study</t>
  </si>
  <si>
    <t>[FB] Post testimonial</t>
  </si>
  <si>
    <t>[Web] Huong dan su dung</t>
  </si>
  <si>
    <t>[Zalo] Flash sale</t>
  </si>
  <si>
    <t>[FB] Infographic</t>
  </si>
  <si>
    <t>[Zalo] Reminder</t>
  </si>
  <si>
    <t>[FB] Behind the scenes</t>
  </si>
  <si>
    <t>[Zalo] Poll khach hang</t>
  </si>
  <si>
    <t>[Web] Comparison post</t>
  </si>
  <si>
    <t>[FB] Post tu van</t>
  </si>
  <si>
    <t>[Zalo] New product</t>
  </si>
  <si>
    <t>[FB] Customer review</t>
  </si>
  <si>
    <t>[Web] Video demo</t>
  </si>
  <si>
    <t>[Web] SEO article</t>
  </si>
  <si>
    <t>[FB] Retargeting ad</t>
  </si>
  <si>
    <t>[Zalo] Weekly recap</t>
  </si>
  <si>
    <t>[Web] Email newsletter</t>
  </si>
  <si>
    <t>[FB] Engagement post</t>
  </si>
  <si>
    <t>[Zalo] Order reminder</t>
  </si>
  <si>
    <t>Loai content:</t>
  </si>
  <si>
    <t>FB: Facebook  |  Zalo: Zalo OA  |  Web: Website/Blog</t>
  </si>
  <si>
    <t>Muc tieu: 3 post/tuan Facebook, 2 Zalo/tuan, 2 bai web/tuan</t>
  </si>
  <si>
    <t>CHI SO CONTENT THANG 5</t>
  </si>
  <si>
    <t>Post FB</t>
  </si>
  <si>
    <t>Bai Web</t>
  </si>
  <si>
    <t>Video</t>
  </si>
  <si>
    <t>Reach FB</t>
  </si>
  <si>
    <t>Engagement</t>
  </si>
  <si>
    <t>Post / Content</t>
  </si>
  <si>
    <t>Ngay</t>
  </si>
  <si>
    <t>Reach</t>
  </si>
  <si>
    <t>Impression</t>
  </si>
  <si>
    <t>Click</t>
  </si>
  <si>
    <t>Leads</t>
  </si>
  <si>
    <t>Post gioi thieu san pham moi</t>
  </si>
  <si>
    <t>15/05</t>
  </si>
  <si>
    <t>Reel cach su dung san pham</t>
  </si>
  <si>
    <t>18/05</t>
  </si>
  <si>
    <t>Customer story - Cong ty A</t>
  </si>
  <si>
    <t>20/05</t>
  </si>
  <si>
    <t>Case study giai phap</t>
  </si>
  <si>
    <t>Website</t>
  </si>
  <si>
    <t>16/05</t>
  </si>
  <si>
    <t>Blog SEO - 5 loi thuong gap</t>
  </si>
  <si>
    <t>17/05</t>
  </si>
  <si>
    <t>Zalo khuyen mai xuan</t>
  </si>
  <si>
    <t>10/05</t>
  </si>
  <si>
    <t>Zalo new product launch</t>
  </si>
  <si>
    <t>22/05</t>
  </si>
  <si>
    <t>Infographic san pham</t>
  </si>
  <si>
    <t>19/05</t>
  </si>
  <si>
    <t>Email newsletter thang 5</t>
  </si>
  <si>
    <t>Email</t>
  </si>
  <si>
    <t>21/05</t>
  </si>
  <si>
    <t>Video demo san pham</t>
  </si>
  <si>
    <t>23/05</t>
  </si>
  <si>
    <t>NGAN SACH MARKETING Q2 2026</t>
  </si>
  <si>
    <t>Khoan muc</t>
  </si>
  <si>
    <t>Q1 Thuc te</t>
  </si>
  <si>
    <t>Q2 Du kien</t>
  </si>
  <si>
    <t>Q2 Thuc te</t>
  </si>
  <si>
    <t>Ghi chu</t>
  </si>
  <si>
    <t>Quang cao Facebook</t>
  </si>
  <si>
    <t>Quang cao Google</t>
  </si>
  <si>
    <t>Zalo Ads</t>
  </si>
  <si>
    <t>San xuat noi dung</t>
  </si>
  <si>
    <t>Event / Workshop</t>
  </si>
  <si>
    <t>Cong cu marketing</t>
  </si>
  <si>
    <t>Email marketing</t>
  </si>
  <si>
    <t>SEO / Content website</t>
  </si>
  <si>
    <t>TONG CONG</t>
  </si>
</sst>
</file>

<file path=xl/styles.xml><?xml version="1.0" encoding="utf-8"?>
<styleSheet xmlns="http://schemas.openxmlformats.org/spreadsheetml/2006/main">
  <numFmts count="2">
    <numFmt numFmtId="164" formatCode="#,##0 &quot;VND&quot;"/>
    <numFmt numFmtId="165" formatCode="#,##0"/>
  </numFmts>
  <fonts count="1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155724"/>
      <name val="Calibri"/>
      <family val="2"/>
      <scheme val="minor"/>
    </font>
    <font>
      <sz val="9"/>
      <color rgb="FF856404"/>
      <name val="Calibri"/>
      <family val="2"/>
      <scheme val="minor"/>
    </font>
    <font>
      <sz val="9"/>
      <color rgb="FF495057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rgb="FF1B3A5C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EEF4FA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5F8A"/>
        <bgColor indexed="64"/>
      </patternFill>
    </fill>
    <fill>
      <patternFill patternType="solid">
        <fgColor rgb="FF2A7F7F"/>
        <bgColor indexed="64"/>
      </patternFill>
    </fill>
    <fill>
      <patternFill patternType="solid">
        <fgColor rgb="FF6B3FA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F0E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164" fontId="2" fillId="5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/>
    </xf>
    <xf numFmtId="0" fontId="6" fillId="8" borderId="2" xfId="0" applyFont="1" applyFill="1" applyBorder="1"/>
    <xf numFmtId="164" fontId="6" fillId="8" borderId="0" xfId="0" applyNumberFormat="1" applyFont="1" applyFill="1"/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vertical="center"/>
    </xf>
    <xf numFmtId="0" fontId="8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vertical="center"/>
    </xf>
    <xf numFmtId="165" fontId="2" fillId="5" borderId="2" xfId="0" applyNumberFormat="1" applyFont="1" applyFill="1" applyBorder="1" applyAlignment="1">
      <alignment vertical="center"/>
    </xf>
    <xf numFmtId="0" fontId="1" fillId="2" borderId="1" xfId="0" applyFont="1" applyFill="1" applyBorder="1"/>
    <xf numFmtId="164" fontId="1" fillId="2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Chi tieu theo kenh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Chi tieu theo kenh</c:v>
          </c:tx>
          <c:dLbls>
            <c:showCatName val="1"/>
            <c:showPercent val="1"/>
          </c:dLbls>
          <c:cat>
            <c:strRef>
              <c:f>Campaigns!$B$2:$B$8</c:f>
              <c:strCache>
                <c:ptCount val="7"/>
                <c:pt idx="0">
                  <c:v>Facebook</c:v>
                </c:pt>
                <c:pt idx="1">
                  <c:v>Zalo</c:v>
                </c:pt>
                <c:pt idx="2">
                  <c:v>Facebook</c:v>
                </c:pt>
                <c:pt idx="3">
                  <c:v>Content</c:v>
                </c:pt>
                <c:pt idx="4">
                  <c:v>Event</c:v>
                </c:pt>
                <c:pt idx="5">
                  <c:v>Facebook</c:v>
                </c:pt>
                <c:pt idx="6">
                  <c:v>Content</c:v>
                </c:pt>
              </c:strCache>
            </c:strRef>
          </c:cat>
          <c:val>
            <c:numRef>
              <c:f>Campaigns!$F$2:$F$8</c:f>
              <c:numCache>
                <c:formatCode>General</c:formatCode>
                <c:ptCount val="7"/>
                <c:pt idx="0">
                  <c:v>18700000</c:v>
                </c:pt>
                <c:pt idx="1">
                  <c:v>9800000</c:v>
                </c:pt>
                <c:pt idx="2">
                  <c:v>32000000</c:v>
                </c:pt>
                <c:pt idx="3">
                  <c:v>7500000</c:v>
                </c:pt>
                <c:pt idx="4">
                  <c:v>38000000</c:v>
                </c:pt>
                <c:pt idx="5">
                  <c:v>6100000</c:v>
                </c:pt>
                <c:pt idx="6">
                  <c:v>5000000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Hieu qua noi dung theo kenh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Reach</c:v>
          </c:tx>
          <c:spPr>
            <a:solidFill>
              <a:srgbClr val="1B3A5C"/>
            </a:solidFill>
          </c:spPr>
          <c:cat>
            <c:strRef>
              <c:f>Performance!$B$2:$B$11</c:f>
              <c:strCache>
                <c:ptCount val="10"/>
                <c:pt idx="0">
                  <c:v>Facebook</c:v>
                </c:pt>
                <c:pt idx="1">
                  <c:v>Facebook</c:v>
                </c:pt>
                <c:pt idx="2">
                  <c:v>Facebook</c:v>
                </c:pt>
                <c:pt idx="3">
                  <c:v>Website</c:v>
                </c:pt>
                <c:pt idx="4">
                  <c:v>Website</c:v>
                </c:pt>
                <c:pt idx="5">
                  <c:v>Zalo</c:v>
                </c:pt>
                <c:pt idx="6">
                  <c:v>Zalo</c:v>
                </c:pt>
                <c:pt idx="7">
                  <c:v>Facebook</c:v>
                </c:pt>
                <c:pt idx="8">
                  <c:v>Email</c:v>
                </c:pt>
                <c:pt idx="9">
                  <c:v>Website</c:v>
                </c:pt>
              </c:strCache>
            </c:strRef>
          </c:cat>
          <c:val>
            <c:numRef>
              <c:f>Performance!$D$2:$D$11</c:f>
              <c:numCache>
                <c:formatCode>General</c:formatCode>
                <c:ptCount val="10"/>
                <c:pt idx="0">
                  <c:v>12000</c:v>
                </c:pt>
                <c:pt idx="1">
                  <c:v>8500</c:v>
                </c:pt>
                <c:pt idx="2">
                  <c:v>9800</c:v>
                </c:pt>
                <c:pt idx="3">
                  <c:v>3200</c:v>
                </c:pt>
                <c:pt idx="4">
                  <c:v>1800</c:v>
                </c:pt>
                <c:pt idx="5">
                  <c:v>5600</c:v>
                </c:pt>
                <c:pt idx="6">
                  <c:v>4200</c:v>
                </c:pt>
                <c:pt idx="7">
                  <c:v>7200</c:v>
                </c:pt>
                <c:pt idx="8">
                  <c:v>2100</c:v>
                </c:pt>
                <c:pt idx="9">
                  <c:v>2800</c:v>
                </c:pt>
              </c:numCache>
            </c:numRef>
          </c:val>
        </c:ser>
        <c:ser>
          <c:idx val="1"/>
          <c:order val="1"/>
          <c:tx>
            <c:v>Engagement</c:v>
          </c:tx>
          <c:spPr>
            <a:solidFill>
              <a:srgbClr val="E8821A"/>
            </a:solidFill>
          </c:spPr>
          <c:cat>
            <c:strRef>
              <c:f>Performance!$B$2:$B$11</c:f>
              <c:strCache>
                <c:ptCount val="10"/>
                <c:pt idx="0">
                  <c:v>Facebook</c:v>
                </c:pt>
                <c:pt idx="1">
                  <c:v>Facebook</c:v>
                </c:pt>
                <c:pt idx="2">
                  <c:v>Facebook</c:v>
                </c:pt>
                <c:pt idx="3">
                  <c:v>Website</c:v>
                </c:pt>
                <c:pt idx="4">
                  <c:v>Website</c:v>
                </c:pt>
                <c:pt idx="5">
                  <c:v>Zalo</c:v>
                </c:pt>
                <c:pt idx="6">
                  <c:v>Zalo</c:v>
                </c:pt>
                <c:pt idx="7">
                  <c:v>Facebook</c:v>
                </c:pt>
                <c:pt idx="8">
                  <c:v>Email</c:v>
                </c:pt>
                <c:pt idx="9">
                  <c:v>Website</c:v>
                </c:pt>
              </c:strCache>
            </c:strRef>
          </c:cat>
          <c:val>
            <c:numRef>
              <c:f>Performance!$G$2:$G$11</c:f>
              <c:numCache>
                <c:formatCode>General</c:formatCode>
                <c:ptCount val="10"/>
                <c:pt idx="0">
                  <c:v>1240</c:v>
                </c:pt>
                <c:pt idx="1">
                  <c:v>980</c:v>
                </c:pt>
                <c:pt idx="2">
                  <c:v>1100</c:v>
                </c:pt>
                <c:pt idx="3">
                  <c:v>280</c:v>
                </c:pt>
                <c:pt idx="4">
                  <c:v>195</c:v>
                </c:pt>
                <c:pt idx="5">
                  <c:v>890</c:v>
                </c:pt>
                <c:pt idx="6">
                  <c:v>720</c:v>
                </c:pt>
                <c:pt idx="7">
                  <c:v>820</c:v>
                </c:pt>
                <c:pt idx="8">
                  <c:v>210</c:v>
                </c:pt>
                <c:pt idx="9">
                  <c:v>480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Bai viet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 luong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Ngan sach vs Thuc te Q1 vs Q2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Q1 Thuc te</c:v>
          </c:tx>
          <c:spPr>
            <a:solidFill>
              <a:srgbClr val="4A7FB0"/>
            </a:solidFill>
          </c:spPr>
          <c:cat>
            <c:strRef>
              <c:f>Budget!$A$3:$A$10</c:f>
              <c:strCache>
                <c:ptCount val="8"/>
                <c:pt idx="0">
                  <c:v>Quang cao Facebook</c:v>
                </c:pt>
                <c:pt idx="1">
                  <c:v>Quang cao Google</c:v>
                </c:pt>
                <c:pt idx="2">
                  <c:v>Zalo Ads</c:v>
                </c:pt>
                <c:pt idx="3">
                  <c:v>San xuat noi dung</c:v>
                </c:pt>
                <c:pt idx="4">
                  <c:v>Event / Workshop</c:v>
                </c:pt>
                <c:pt idx="5">
                  <c:v>Cong cu marketing</c:v>
                </c:pt>
                <c:pt idx="6">
                  <c:v>Email marketing</c:v>
                </c:pt>
                <c:pt idx="7">
                  <c:v>SEO / Content website</c:v>
                </c:pt>
              </c:strCache>
            </c:strRef>
          </c:cat>
          <c:val>
            <c:numRef>
              <c:f>Budget!$B$3:$B$10</c:f>
              <c:numCache>
                <c:formatCode>General</c:formatCode>
                <c:ptCount val="8"/>
                <c:pt idx="0">
                  <c:v>85000000</c:v>
                </c:pt>
                <c:pt idx="1">
                  <c:v>32000000</c:v>
                </c:pt>
                <c:pt idx="2">
                  <c:v>18000000</c:v>
                </c:pt>
                <c:pt idx="3">
                  <c:v>45000000</c:v>
                </c:pt>
                <c:pt idx="4">
                  <c:v>40000000</c:v>
                </c:pt>
                <c:pt idx="5">
                  <c:v>8000000</c:v>
                </c:pt>
                <c:pt idx="6">
                  <c:v>3000000</c:v>
                </c:pt>
                <c:pt idx="7">
                  <c:v>12000000</c:v>
                </c:pt>
              </c:numCache>
            </c:numRef>
          </c:val>
        </c:ser>
        <c:ser>
          <c:idx val="1"/>
          <c:order val="1"/>
          <c:tx>
            <c:v>Q2 Du kien</c:v>
          </c:tx>
          <c:spPr>
            <a:solidFill>
              <a:srgbClr val="1B3A5C"/>
            </a:solidFill>
          </c:spPr>
          <c:cat>
            <c:strRef>
              <c:f>Budget!$A$3:$A$10</c:f>
              <c:strCache>
                <c:ptCount val="8"/>
                <c:pt idx="0">
                  <c:v>Quang cao Facebook</c:v>
                </c:pt>
                <c:pt idx="1">
                  <c:v>Quang cao Google</c:v>
                </c:pt>
                <c:pt idx="2">
                  <c:v>Zalo Ads</c:v>
                </c:pt>
                <c:pt idx="3">
                  <c:v>San xuat noi dung</c:v>
                </c:pt>
                <c:pt idx="4">
                  <c:v>Event / Workshop</c:v>
                </c:pt>
                <c:pt idx="5">
                  <c:v>Cong cu marketing</c:v>
                </c:pt>
                <c:pt idx="6">
                  <c:v>Email marketing</c:v>
                </c:pt>
                <c:pt idx="7">
                  <c:v>SEO / Content website</c:v>
                </c:pt>
              </c:strCache>
            </c:strRef>
          </c:cat>
          <c:val>
            <c:numRef>
              <c:f>Budget!$C$3:$C$10</c:f>
              <c:numCache>
                <c:formatCode>General</c:formatCode>
                <c:ptCount val="8"/>
                <c:pt idx="0">
                  <c:v>60000000</c:v>
                </c:pt>
                <c:pt idx="1">
                  <c:v>25000000</c:v>
                </c:pt>
                <c:pt idx="2">
                  <c:v>15000000</c:v>
                </c:pt>
                <c:pt idx="3">
                  <c:v>35000000</c:v>
                </c:pt>
                <c:pt idx="4">
                  <c:v>60000000</c:v>
                </c:pt>
                <c:pt idx="5">
                  <c:v>8000000</c:v>
                </c:pt>
                <c:pt idx="6">
                  <c:v>3000000</c:v>
                </c:pt>
                <c:pt idx="7">
                  <c:v>10000000</c:v>
                </c:pt>
              </c:numCache>
            </c:numRef>
          </c:val>
        </c:ser>
        <c:ser>
          <c:idx val="2"/>
          <c:order val="2"/>
          <c:tx>
            <c:v>Q2 Thuc te</c:v>
          </c:tx>
          <c:spPr>
            <a:solidFill>
              <a:srgbClr val="E8821A"/>
            </a:solidFill>
          </c:spPr>
          <c:cat>
            <c:strRef>
              <c:f>Budget!$A$3:$A$10</c:f>
              <c:strCache>
                <c:ptCount val="8"/>
                <c:pt idx="0">
                  <c:v>Quang cao Facebook</c:v>
                </c:pt>
                <c:pt idx="1">
                  <c:v>Quang cao Google</c:v>
                </c:pt>
                <c:pt idx="2">
                  <c:v>Zalo Ads</c:v>
                </c:pt>
                <c:pt idx="3">
                  <c:v>San xuat noi dung</c:v>
                </c:pt>
                <c:pt idx="4">
                  <c:v>Event / Workshop</c:v>
                </c:pt>
                <c:pt idx="5">
                  <c:v>Cong cu marketing</c:v>
                </c:pt>
                <c:pt idx="6">
                  <c:v>Email marketing</c:v>
                </c:pt>
                <c:pt idx="7">
                  <c:v>SEO / Content website</c:v>
                </c:pt>
              </c:strCache>
            </c:strRef>
          </c:cat>
          <c:val>
            <c:numRef>
              <c:f>Budget!$D$3:$D$10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Khoan muc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285750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161925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3</xdr:col>
      <xdr:colOff>1057275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2.7109375" customWidth="1"/>
    <col min="3" max="4" width="13.7109375" customWidth="1"/>
    <col min="5" max="7" width="16.7109375" customWidth="1"/>
    <col min="8" max="8" width="14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25000000</v>
      </c>
      <c r="F2" s="3">
        <v>18700000</v>
      </c>
      <c r="G2" s="3">
        <v>85000000</v>
      </c>
      <c r="H2" s="4" t="s">
        <v>12</v>
      </c>
    </row>
    <row r="3" spans="1:8" ht="18" customHeight="1">
      <c r="A3" s="5" t="s">
        <v>13</v>
      </c>
      <c r="B3" s="5" t="s">
        <v>14</v>
      </c>
      <c r="C3" s="5" t="s">
        <v>15</v>
      </c>
      <c r="D3" s="5" t="s">
        <v>16</v>
      </c>
      <c r="E3" s="6">
        <v>15000000</v>
      </c>
      <c r="F3" s="6">
        <v>9800000</v>
      </c>
      <c r="G3" s="6">
        <v>62000000</v>
      </c>
      <c r="H3" s="4" t="s">
        <v>12</v>
      </c>
    </row>
    <row r="4" spans="1:8" ht="18" customHeight="1">
      <c r="A4" s="2" t="s">
        <v>17</v>
      </c>
      <c r="B4" s="2" t="s">
        <v>9</v>
      </c>
      <c r="C4" s="2" t="s">
        <v>18</v>
      </c>
      <c r="D4" s="2" t="s">
        <v>19</v>
      </c>
      <c r="E4" s="3">
        <v>30000000</v>
      </c>
      <c r="F4" s="3">
        <v>32000000</v>
      </c>
      <c r="G4" s="3">
        <v>45000000</v>
      </c>
      <c r="H4" s="7" t="s">
        <v>20</v>
      </c>
    </row>
    <row r="5" spans="1:8" ht="18" customHeight="1">
      <c r="A5" s="5" t="s">
        <v>21</v>
      </c>
      <c r="B5" s="5" t="s">
        <v>22</v>
      </c>
      <c r="C5" s="5" t="s">
        <v>23</v>
      </c>
      <c r="D5" s="5" t="s">
        <v>24</v>
      </c>
      <c r="E5" s="6">
        <v>10000000</v>
      </c>
      <c r="F5" s="6">
        <v>7500000</v>
      </c>
      <c r="G5" s="6">
        <v>0</v>
      </c>
      <c r="H5" s="7" t="s">
        <v>20</v>
      </c>
    </row>
    <row r="6" spans="1:8" ht="18" customHeight="1">
      <c r="A6" s="2" t="s">
        <v>25</v>
      </c>
      <c r="B6" s="2" t="s">
        <v>26</v>
      </c>
      <c r="C6" s="2" t="s">
        <v>27</v>
      </c>
      <c r="D6" s="2" t="s">
        <v>28</v>
      </c>
      <c r="E6" s="3">
        <v>40000000</v>
      </c>
      <c r="F6" s="3">
        <v>38000000</v>
      </c>
      <c r="G6" s="3">
        <v>120000000</v>
      </c>
      <c r="H6" s="7" t="s">
        <v>20</v>
      </c>
    </row>
    <row r="7" spans="1:8" ht="18" customHeight="1">
      <c r="A7" s="5" t="s">
        <v>29</v>
      </c>
      <c r="B7" s="5" t="s">
        <v>9</v>
      </c>
      <c r="C7" s="5" t="s">
        <v>23</v>
      </c>
      <c r="D7" s="5" t="s">
        <v>30</v>
      </c>
      <c r="E7" s="6">
        <v>8000000</v>
      </c>
      <c r="F7" s="6">
        <v>6100000</v>
      </c>
      <c r="G7" s="6">
        <v>28000000</v>
      </c>
      <c r="H7" s="8" t="s">
        <v>31</v>
      </c>
    </row>
    <row r="8" spans="1:8" ht="18" customHeight="1">
      <c r="A8" s="2" t="s">
        <v>32</v>
      </c>
      <c r="B8" s="2" t="s">
        <v>22</v>
      </c>
      <c r="C8" s="2" t="s">
        <v>15</v>
      </c>
      <c r="D8" s="2" t="s">
        <v>33</v>
      </c>
      <c r="E8" s="3">
        <v>12000000</v>
      </c>
      <c r="F8" s="3">
        <v>5000000</v>
      </c>
      <c r="G8" s="3">
        <v>0</v>
      </c>
      <c r="H8" s="7" t="s">
        <v>20</v>
      </c>
    </row>
    <row r="9" spans="1:8" ht="18" customHeight="1">
      <c r="A9" s="9" t="s">
        <v>34</v>
      </c>
      <c r="B9" s="9"/>
      <c r="C9" s="9"/>
      <c r="D9" s="9"/>
      <c r="E9" s="9">
        <f>SUM(E2:E8)</f>
        <v>0</v>
      </c>
      <c r="F9" s="9">
        <f>SUM(F2:F8)</f>
        <v>0</v>
      </c>
      <c r="G9" s="9">
        <f>SUM(G2:G8)</f>
        <v>0</v>
      </c>
      <c r="H9" s="9"/>
    </row>
    <row r="10" spans="1:8" ht="18" customHeight="1">
      <c r="A10" s="10" t="s">
        <v>35</v>
      </c>
      <c r="B10" s="10"/>
      <c r="C10" s="11">
        <f>E9+F9</f>
        <v>0</v>
      </c>
      <c r="D10" s="10" t="s">
        <v>36</v>
      </c>
      <c r="E10" s="10"/>
      <c r="F10" s="11">
        <f>G9</f>
        <v>0</v>
      </c>
    </row>
  </sheetData>
  <mergeCells count="3">
    <mergeCell ref="A9:D9"/>
    <mergeCell ref="A10:B10"/>
    <mergeCell ref="D10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showGridLines="0" workbookViewId="0"/>
  </sheetViews>
  <sheetFormatPr defaultRowHeight="15"/>
  <cols>
    <col min="1" max="7" width="16.7109375" customWidth="1"/>
  </cols>
  <sheetData>
    <row r="1" spans="1:12" ht="24" customHeight="1">
      <c r="A1" s="1" t="s">
        <v>37</v>
      </c>
      <c r="B1" s="1"/>
      <c r="C1" s="1"/>
      <c r="D1" s="1"/>
      <c r="E1" s="1"/>
      <c r="F1" s="1"/>
      <c r="G1" s="1"/>
      <c r="H1" s="1"/>
    </row>
    <row r="2" spans="1:12" ht="18" customHeight="1">
      <c r="A2" s="12" t="s">
        <v>38</v>
      </c>
      <c r="B2" s="12" t="s">
        <v>39</v>
      </c>
      <c r="C2" s="12" t="s">
        <v>40</v>
      </c>
      <c r="D2" s="12" t="s">
        <v>41</v>
      </c>
      <c r="E2" s="12" t="s">
        <v>42</v>
      </c>
      <c r="F2" s="13" t="s">
        <v>43</v>
      </c>
      <c r="G2" s="14" t="s">
        <v>44</v>
      </c>
    </row>
    <row r="3" spans="1:12" ht="48" customHeight="1">
      <c r="A3" s="15" t="s">
        <v>45</v>
      </c>
      <c r="B3" s="16"/>
      <c r="C3" s="17" t="s">
        <v>46</v>
      </c>
      <c r="D3" s="18" t="s">
        <v>47</v>
      </c>
      <c r="E3" s="15" t="s">
        <v>48</v>
      </c>
      <c r="F3" s="18" t="s">
        <v>49</v>
      </c>
      <c r="G3" s="15" t="s">
        <v>50</v>
      </c>
      <c r="H3" s="16"/>
    </row>
    <row r="4" spans="1:12" ht="48" customHeight="1">
      <c r="A4" s="17" t="s">
        <v>51</v>
      </c>
      <c r="B4" s="15" t="s">
        <v>52</v>
      </c>
      <c r="C4" s="16"/>
      <c r="D4" s="17" t="s">
        <v>53</v>
      </c>
      <c r="E4" s="18" t="s">
        <v>54</v>
      </c>
      <c r="F4" s="15" t="s">
        <v>55</v>
      </c>
      <c r="G4" s="18" t="s">
        <v>56</v>
      </c>
      <c r="H4" s="16"/>
    </row>
    <row r="5" spans="1:12" ht="48" customHeight="1">
      <c r="A5" s="15" t="s">
        <v>57</v>
      </c>
      <c r="B5" s="18" t="s">
        <v>58</v>
      </c>
      <c r="C5" s="17" t="s">
        <v>59</v>
      </c>
      <c r="D5" s="15" t="s">
        <v>60</v>
      </c>
      <c r="E5" s="18" t="s">
        <v>61</v>
      </c>
      <c r="F5" s="15" t="s">
        <v>62</v>
      </c>
      <c r="G5" s="17" t="s">
        <v>63</v>
      </c>
      <c r="H5" s="16"/>
    </row>
    <row r="6" spans="1:12" ht="48" customHeight="1">
      <c r="A6" s="17" t="s">
        <v>64</v>
      </c>
      <c r="B6" s="15" t="s">
        <v>65</v>
      </c>
      <c r="C6" s="18" t="s">
        <v>66</v>
      </c>
      <c r="D6" s="17" t="s">
        <v>67</v>
      </c>
      <c r="E6" s="15" t="s">
        <v>68</v>
      </c>
      <c r="F6" s="18" t="s">
        <v>69</v>
      </c>
      <c r="G6" s="16"/>
      <c r="H6" s="16"/>
    </row>
    <row r="9" spans="1:12" ht="14" customHeight="1">
      <c r="A9" s="19" t="s">
        <v>70</v>
      </c>
      <c r="B9" s="19"/>
      <c r="C9" s="16" t="s">
        <v>71</v>
      </c>
      <c r="D9" s="16"/>
      <c r="E9" s="16" t="s">
        <v>72</v>
      </c>
      <c r="F9" s="16"/>
      <c r="G9" s="16"/>
    </row>
    <row r="11" spans="1:12" ht="14" customHeight="1">
      <c r="A11" s="1" t="s">
        <v>73</v>
      </c>
      <c r="B11" s="1"/>
      <c r="C11" s="1"/>
      <c r="D11" s="1"/>
      <c r="E11" s="1"/>
      <c r="F11" s="1"/>
      <c r="G11" s="1"/>
      <c r="H11" s="1"/>
    </row>
    <row r="12" spans="1:12" ht="36" customHeight="1">
      <c r="A12" s="10" t="s">
        <v>74</v>
      </c>
      <c r="B12" s="10"/>
      <c r="C12" s="10" t="s">
        <v>14</v>
      </c>
      <c r="D12" s="10"/>
      <c r="E12" s="10" t="s">
        <v>75</v>
      </c>
      <c r="F12" s="10"/>
      <c r="G12" s="10" t="s">
        <v>76</v>
      </c>
      <c r="H12" s="10"/>
      <c r="I12" s="10" t="s">
        <v>77</v>
      </c>
      <c r="J12" s="10"/>
      <c r="K12" s="10" t="s">
        <v>78</v>
      </c>
      <c r="L12" s="10"/>
    </row>
    <row r="13" spans="1:12" ht="36" customHeight="1">
      <c r="A13" s="20">
        <v>18</v>
      </c>
      <c r="B13" s="20"/>
      <c r="C13" s="20">
        <v>14</v>
      </c>
      <c r="D13" s="20"/>
      <c r="E13" s="20">
        <v>8</v>
      </c>
      <c r="F13" s="20"/>
      <c r="G13" s="20">
        <v>4</v>
      </c>
      <c r="H13" s="20"/>
      <c r="I13" s="20">
        <v>45000</v>
      </c>
      <c r="J13" s="20"/>
      <c r="K13" s="20">
        <v>3200</v>
      </c>
      <c r="L13" s="20"/>
    </row>
  </sheetData>
  <mergeCells count="17">
    <mergeCell ref="A1:H1"/>
    <mergeCell ref="A9:B9"/>
    <mergeCell ref="C9:D9"/>
    <mergeCell ref="E9:G9"/>
    <mergeCell ref="A11:H11"/>
    <mergeCell ref="A12:B12"/>
    <mergeCell ref="A13:B13"/>
    <mergeCell ref="C12:D12"/>
    <mergeCell ref="C13:D13"/>
    <mergeCell ref="E12:F12"/>
    <mergeCell ref="E13:F13"/>
    <mergeCell ref="G12:H12"/>
    <mergeCell ref="G13:H13"/>
    <mergeCell ref="I12:J12"/>
    <mergeCell ref="I13:J13"/>
    <mergeCell ref="K12:L12"/>
    <mergeCell ref="K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/>
  </sheetViews>
  <sheetFormatPr defaultRowHeight="15"/>
  <cols>
    <col min="1" max="1" width="30.7109375" customWidth="1"/>
    <col min="2" max="2" width="12.7109375" customWidth="1"/>
    <col min="3" max="3" width="8.7109375" customWidth="1"/>
    <col min="4" max="8" width="12.7109375" customWidth="1"/>
  </cols>
  <sheetData>
    <row r="1" spans="1:8" ht="28" customHeight="1">
      <c r="A1" s="1" t="s">
        <v>79</v>
      </c>
      <c r="B1" s="1" t="s">
        <v>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78</v>
      </c>
      <c r="H1" s="1" t="s">
        <v>84</v>
      </c>
    </row>
    <row r="2" spans="1:8" ht="16" customHeight="1">
      <c r="A2" s="2" t="s">
        <v>85</v>
      </c>
      <c r="B2" s="2" t="s">
        <v>9</v>
      </c>
      <c r="C2" s="2" t="s">
        <v>86</v>
      </c>
      <c r="D2" s="21">
        <v>12000</v>
      </c>
      <c r="E2" s="21">
        <v>35000</v>
      </c>
      <c r="F2" s="21">
        <v>890</v>
      </c>
      <c r="G2" s="21">
        <v>1240</v>
      </c>
      <c r="H2" s="21">
        <v>45</v>
      </c>
    </row>
    <row r="3" spans="1:8" ht="16" customHeight="1">
      <c r="A3" s="5" t="s">
        <v>87</v>
      </c>
      <c r="B3" s="5" t="s">
        <v>9</v>
      </c>
      <c r="C3" s="5" t="s">
        <v>88</v>
      </c>
      <c r="D3" s="22">
        <v>8500</v>
      </c>
      <c r="E3" s="22">
        <v>22000</v>
      </c>
      <c r="F3" s="22">
        <v>560</v>
      </c>
      <c r="G3" s="22">
        <v>980</v>
      </c>
      <c r="H3" s="22">
        <v>28</v>
      </c>
    </row>
    <row r="4" spans="1:8" ht="16" customHeight="1">
      <c r="A4" s="2" t="s">
        <v>89</v>
      </c>
      <c r="B4" s="2" t="s">
        <v>9</v>
      </c>
      <c r="C4" s="2" t="s">
        <v>90</v>
      </c>
      <c r="D4" s="21">
        <v>9800</v>
      </c>
      <c r="E4" s="21">
        <v>28000</v>
      </c>
      <c r="F4" s="21">
        <v>670</v>
      </c>
      <c r="G4" s="21">
        <v>1100</v>
      </c>
      <c r="H4" s="21">
        <v>35</v>
      </c>
    </row>
    <row r="5" spans="1:8" ht="16" customHeight="1">
      <c r="A5" s="5" t="s">
        <v>91</v>
      </c>
      <c r="B5" s="5" t="s">
        <v>92</v>
      </c>
      <c r="C5" s="5" t="s">
        <v>93</v>
      </c>
      <c r="D5" s="22">
        <v>3200</v>
      </c>
      <c r="E5" s="22">
        <v>8500</v>
      </c>
      <c r="F5" s="22">
        <v>420</v>
      </c>
      <c r="G5" s="22">
        <v>280</v>
      </c>
      <c r="H5" s="22">
        <v>22</v>
      </c>
    </row>
    <row r="6" spans="1:8" ht="16" customHeight="1">
      <c r="A6" s="2" t="s">
        <v>94</v>
      </c>
      <c r="B6" s="2" t="s">
        <v>92</v>
      </c>
      <c r="C6" s="2" t="s">
        <v>95</v>
      </c>
      <c r="D6" s="21">
        <v>1800</v>
      </c>
      <c r="E6" s="21">
        <v>4200</v>
      </c>
      <c r="F6" s="21">
        <v>310</v>
      </c>
      <c r="G6" s="21">
        <v>195</v>
      </c>
      <c r="H6" s="21">
        <v>18</v>
      </c>
    </row>
    <row r="7" spans="1:8" ht="16" customHeight="1">
      <c r="A7" s="5" t="s">
        <v>96</v>
      </c>
      <c r="B7" s="5" t="s">
        <v>14</v>
      </c>
      <c r="C7" s="5" t="s">
        <v>97</v>
      </c>
      <c r="D7" s="22">
        <v>5600</v>
      </c>
      <c r="E7" s="22">
        <v>12000</v>
      </c>
      <c r="F7" s="22">
        <v>780</v>
      </c>
      <c r="G7" s="22">
        <v>890</v>
      </c>
      <c r="H7" s="22">
        <v>52</v>
      </c>
    </row>
    <row r="8" spans="1:8" ht="16" customHeight="1">
      <c r="A8" s="2" t="s">
        <v>98</v>
      </c>
      <c r="B8" s="2" t="s">
        <v>14</v>
      </c>
      <c r="C8" s="2" t="s">
        <v>99</v>
      </c>
      <c r="D8" s="21">
        <v>4200</v>
      </c>
      <c r="E8" s="21">
        <v>9800</v>
      </c>
      <c r="F8" s="21">
        <v>540</v>
      </c>
      <c r="G8" s="21">
        <v>720</v>
      </c>
      <c r="H8" s="21">
        <v>38</v>
      </c>
    </row>
    <row r="9" spans="1:8" ht="16" customHeight="1">
      <c r="A9" s="5" t="s">
        <v>100</v>
      </c>
      <c r="B9" s="5" t="s">
        <v>9</v>
      </c>
      <c r="C9" s="5" t="s">
        <v>101</v>
      </c>
      <c r="D9" s="22">
        <v>7200</v>
      </c>
      <c r="E9" s="22">
        <v>19500</v>
      </c>
      <c r="F9" s="22">
        <v>480</v>
      </c>
      <c r="G9" s="22">
        <v>820</v>
      </c>
      <c r="H9" s="22">
        <v>25</v>
      </c>
    </row>
    <row r="10" spans="1:8" ht="16" customHeight="1">
      <c r="A10" s="2" t="s">
        <v>102</v>
      </c>
      <c r="B10" s="2" t="s">
        <v>103</v>
      </c>
      <c r="C10" s="2" t="s">
        <v>104</v>
      </c>
      <c r="D10" s="21">
        <v>2100</v>
      </c>
      <c r="E10" s="21">
        <v>2800</v>
      </c>
      <c r="F10" s="21">
        <v>390</v>
      </c>
      <c r="G10" s="21">
        <v>210</v>
      </c>
      <c r="H10" s="21">
        <v>15</v>
      </c>
    </row>
    <row r="11" spans="1:8" ht="16" customHeight="1">
      <c r="A11" s="5" t="s">
        <v>105</v>
      </c>
      <c r="B11" s="5" t="s">
        <v>92</v>
      </c>
      <c r="C11" s="5" t="s">
        <v>106</v>
      </c>
      <c r="D11" s="22">
        <v>2800</v>
      </c>
      <c r="E11" s="22">
        <v>6500</v>
      </c>
      <c r="F11" s="22">
        <v>620</v>
      </c>
      <c r="G11" s="22">
        <v>480</v>
      </c>
      <c r="H11" s="22">
        <v>31</v>
      </c>
    </row>
    <row r="12" spans="1:8" ht="18" customHeight="1">
      <c r="A12" s="23" t="s">
        <v>34</v>
      </c>
      <c r="B12" s="23"/>
      <c r="C12" s="23"/>
      <c r="D12" s="23">
        <f>SUM(D2:D11)</f>
        <v>0</v>
      </c>
      <c r="E12" s="23">
        <f>SUM(E2:E11)</f>
        <v>0</v>
      </c>
      <c r="F12" s="23">
        <f>SUM(F2:F11)</f>
        <v>0</v>
      </c>
      <c r="G12" s="23">
        <f>SUM(G2:G11)</f>
        <v>0</v>
      </c>
      <c r="H12" s="23">
        <f>SUM(H2:H11)</f>
        <v>0</v>
      </c>
    </row>
  </sheetData>
  <mergeCells count="1">
    <mergeCell ref="A12:C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/>
  </sheetViews>
  <sheetFormatPr defaultRowHeight="15"/>
  <cols>
    <col min="1" max="1" width="26.7109375" customWidth="1"/>
    <col min="2" max="4" width="18.7109375" customWidth="1"/>
    <col min="5" max="5" width="24.7109375" customWidth="1"/>
  </cols>
  <sheetData>
    <row r="1" spans="1:5" ht="28" customHeight="1">
      <c r="A1" s="1" t="s">
        <v>107</v>
      </c>
      <c r="B1" s="1"/>
      <c r="C1" s="1"/>
      <c r="D1" s="1"/>
      <c r="E1" s="1"/>
    </row>
    <row r="2" spans="1:5" ht="18" customHeight="1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</row>
    <row r="3" spans="1:5" ht="16" customHeight="1">
      <c r="A3" s="2" t="s">
        <v>113</v>
      </c>
      <c r="B3" s="3">
        <v>85000000</v>
      </c>
      <c r="C3" s="3">
        <v>60000000</v>
      </c>
      <c r="D3" s="3">
        <v>0</v>
      </c>
      <c r="E3" s="2"/>
    </row>
    <row r="4" spans="1:5" ht="16" customHeight="1">
      <c r="A4" s="5" t="s">
        <v>114</v>
      </c>
      <c r="B4" s="6">
        <v>32000000</v>
      </c>
      <c r="C4" s="6">
        <v>25000000</v>
      </c>
      <c r="D4" s="6">
        <v>0</v>
      </c>
      <c r="E4" s="5"/>
    </row>
    <row r="5" spans="1:5" ht="16" customHeight="1">
      <c r="A5" s="2" t="s">
        <v>115</v>
      </c>
      <c r="B5" s="3">
        <v>18000000</v>
      </c>
      <c r="C5" s="3">
        <v>15000000</v>
      </c>
      <c r="D5" s="3">
        <v>0</v>
      </c>
      <c r="E5" s="2"/>
    </row>
    <row r="6" spans="1:5" ht="16" customHeight="1">
      <c r="A6" s="5" t="s">
        <v>116</v>
      </c>
      <c r="B6" s="6">
        <v>45000000</v>
      </c>
      <c r="C6" s="6">
        <v>35000000</v>
      </c>
      <c r="D6" s="6">
        <v>0</v>
      </c>
      <c r="E6" s="5"/>
    </row>
    <row r="7" spans="1:5" ht="16" customHeight="1">
      <c r="A7" s="2" t="s">
        <v>117</v>
      </c>
      <c r="B7" s="3">
        <v>40000000</v>
      </c>
      <c r="C7" s="3">
        <v>60000000</v>
      </c>
      <c r="D7" s="3">
        <v>0</v>
      </c>
      <c r="E7" s="2"/>
    </row>
    <row r="8" spans="1:5" ht="16" customHeight="1">
      <c r="A8" s="5" t="s">
        <v>118</v>
      </c>
      <c r="B8" s="6">
        <v>8000000</v>
      </c>
      <c r="C8" s="6">
        <v>8000000</v>
      </c>
      <c r="D8" s="6">
        <v>0</v>
      </c>
      <c r="E8" s="5"/>
    </row>
    <row r="9" spans="1:5" ht="16" customHeight="1">
      <c r="A9" s="2" t="s">
        <v>119</v>
      </c>
      <c r="B9" s="3">
        <v>3000000</v>
      </c>
      <c r="C9" s="3">
        <v>3000000</v>
      </c>
      <c r="D9" s="3">
        <v>0</v>
      </c>
      <c r="E9" s="2"/>
    </row>
    <row r="10" spans="1:5" ht="16" customHeight="1">
      <c r="A10" s="5" t="s">
        <v>120</v>
      </c>
      <c r="B10" s="6">
        <v>12000000</v>
      </c>
      <c r="C10" s="6">
        <v>10000000</v>
      </c>
      <c r="D10" s="6">
        <v>0</v>
      </c>
      <c r="E10" s="5"/>
    </row>
    <row r="11" spans="1:5" ht="18" customHeight="1">
      <c r="A11" s="24" t="s">
        <v>121</v>
      </c>
      <c r="B11" s="24">
        <f>SUM(B3:B10)</f>
        <v>0</v>
      </c>
      <c r="C11" s="24">
        <f>SUM(C3:C10)</f>
        <v>0</v>
      </c>
      <c r="D11" s="24">
        <f>SUM(D3:D10)</f>
        <v>0</v>
      </c>
      <c r="E11" s="24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Campaigns</vt:lpstr>
      <vt:lpstr>Content Calendar</vt:lpstr>
      <vt:lpstr>Performance</vt:lpstr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2026-05-25T15:46:03Z</dcterms:created>
  <dcterms:modified xsi:type="dcterms:W3CDTF">2026-05-25T15:46:03Z</dcterms:modified>
</cp:coreProperties>
</file>