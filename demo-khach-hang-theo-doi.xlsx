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ng Quan" sheetId="1" r:id="rId1"/>
    <sheet name="DS Khach Hang" sheetId="2" r:id="rId2"/>
    <sheet name="Doanh Thu" sheetId="3" r:id="rId3"/>
    <sheet name="Lich Su" sheetId="4" r:id="rId4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Cot Ngay tiep nhan</t>
        </r>
      </text>
    </comment>
    <comment ref="B1" authorId="0">
      <text>
        <r>
          <rPr>
            <sz val="8"/>
            <color indexed="81"/>
            <rFont val="Tahoma"/>
            <family val="2"/>
          </rPr>
          <t>Cot Ho va Ten</t>
        </r>
      </text>
    </comment>
    <comment ref="C1" authorId="0">
      <text>
        <r>
          <rPr>
            <sz val="8"/>
            <color indexed="81"/>
            <rFont val="Tahoma"/>
            <family val="2"/>
          </rPr>
          <t>Cot Zalo ID</t>
        </r>
      </text>
    </comment>
    <comment ref="D1" authorId="0">
      <text>
        <r>
          <rPr>
            <sz val="8"/>
            <color indexed="81"/>
            <rFont val="Tahoma"/>
            <family val="2"/>
          </rPr>
          <t>Cot Kenh</t>
        </r>
      </text>
    </comment>
    <comment ref="E1" authorId="0">
      <text>
        <r>
          <rPr>
            <sz val="8"/>
            <color indexed="81"/>
            <rFont val="Tahoma"/>
            <family val="2"/>
          </rPr>
          <t>Cot Trang Thai</t>
        </r>
      </text>
    </comment>
    <comment ref="F1" authorId="0">
      <text>
        <r>
          <rPr>
            <sz val="8"/>
            <color indexed="81"/>
            <rFont val="Tahoma"/>
            <family val="2"/>
          </rPr>
          <t>Cot San Pham</t>
        </r>
      </text>
    </comment>
    <comment ref="G1" authorId="0">
      <text>
        <r>
          <rPr>
            <sz val="8"/>
            <color indexed="81"/>
            <rFont val="Tahoma"/>
            <family val="2"/>
          </rPr>
          <t>Cot Gia Tri</t>
        </r>
      </text>
    </comment>
    <comment ref="H1" authorId="0">
      <text>
        <r>
          <rPr>
            <sz val="8"/>
            <color indexed="81"/>
            <rFont val="Tahoma"/>
            <family val="2"/>
          </rPr>
          <t>Cot NV Phu Trach</t>
        </r>
      </text>
    </comment>
    <comment ref="I1" authorId="0">
      <text>
        <r>
          <rPr>
            <sz val="8"/>
            <color indexed="81"/>
            <rFont val="Tahoma"/>
            <family val="2"/>
          </rPr>
          <t>Cot Ghi Chu</t>
        </r>
      </text>
    </comment>
  </commentList>
</comments>
</file>

<file path=xl/sharedStrings.xml><?xml version="1.0" encoding="utf-8"?>
<sst xmlns="http://schemas.openxmlformats.org/spreadsheetml/2006/main" count="362" uniqueCount="209">
  <si>
    <t>THEO DOI KHACH HANG - TU VAN MUA HANG CHAM SOC</t>
  </si>
  <si>
    <t>Ban quyen so: CTCP Giai phap Nhan ma  |  Update: 25/05/2026</t>
  </si>
  <si>
    <t>TONG KHACH</t>
  </si>
  <si>
    <t>47</t>
  </si>
  <si>
    <t>+12%</t>
  </si>
  <si>
    <t>DANG TU VAN</t>
  </si>
  <si>
    <t>18</t>
  </si>
  <si>
    <t>+3 moi</t>
  </si>
  <si>
    <t>DA MUA HANG</t>
  </si>
  <si>
    <t>21</t>
  </si>
  <si>
    <t>+5 thang nay</t>
  </si>
  <si>
    <t>DANG CHAM SOC</t>
  </si>
  <si>
    <t>8</t>
  </si>
  <si>
    <t>-2</t>
  </si>
  <si>
    <t>PHỄU KHACH HANG</t>
  </si>
  <si>
    <t>Tiep can (47)</t>
  </si>
  <si>
    <t>100%</t>
  </si>
  <si>
    <t>Tu van (29)</t>
  </si>
  <si>
    <t>62%</t>
  </si>
  <si>
    <t>Mua hang (21)</t>
  </si>
  <si>
    <t>45%</t>
  </si>
  <si>
    <t>Cham soc (8)</t>
  </si>
  <si>
    <t>17%</t>
  </si>
  <si>
    <t>HOAT DONG GAN DAY</t>
  </si>
  <si>
    <t>Ngay</t>
  </si>
  <si>
    <t>Khach</t>
  </si>
  <si>
    <t>Kenh</t>
  </si>
  <si>
    <t>Hanh dong</t>
  </si>
  <si>
    <t>NV Phu trach</t>
  </si>
  <si>
    <t>Ghi chu</t>
  </si>
  <si>
    <t>25/05</t>
  </si>
  <si>
    <t>Cong ty A</t>
  </si>
  <si>
    <t>Zalo</t>
  </si>
  <si>
    <t>Hoi ve goi tu van</t>
  </si>
  <si>
    <t>NV Minh</t>
  </si>
  <si>
    <t>Tra loi 15 phut</t>
  </si>
  <si>
    <t>24/05</t>
  </si>
  <si>
    <t>Anh Bui</t>
  </si>
  <si>
    <t>Facebook</t>
  </si>
  <si>
    <t>Gui bao gia</t>
  </si>
  <si>
    <t>NV Lan</t>
  </si>
  <si>
    <t>Follow up 3 ngay</t>
  </si>
  <si>
    <t>23/05</t>
  </si>
  <si>
    <t>Co Thu</t>
  </si>
  <si>
    <t>Website</t>
  </si>
  <si>
    <t>Dat hang mau</t>
  </si>
  <si>
    <t>Dang cho xac nhan</t>
  </si>
  <si>
    <t>22/05</t>
  </si>
  <si>
    <t>Dien dan K</t>
  </si>
  <si>
    <t>Cham soc sau mua</t>
  </si>
  <si>
    <t>Giao hang thanh cong</t>
  </si>
  <si>
    <t>21/05</t>
  </si>
  <si>
    <t>Anh Hung</t>
  </si>
  <si>
    <t>Telegram</t>
  </si>
  <si>
    <t>Hoi san pham</t>
  </si>
  <si>
    <t>Chuyen tu van</t>
  </si>
  <si>
    <t>KHACH MOI THEO THANG (2026)</t>
  </si>
  <si>
    <t>Thang 1</t>
  </si>
  <si>
    <t>Thang 2</t>
  </si>
  <si>
    <t>Thang 3</t>
  </si>
  <si>
    <t>Thang 4</t>
  </si>
  <si>
    <t>Thang 5</t>
  </si>
  <si>
    <t>Ngay tiep nhan</t>
  </si>
  <si>
    <t>Ho va Ten</t>
  </si>
  <si>
    <t>Zalo ID</t>
  </si>
  <si>
    <t>Trang Thai</t>
  </si>
  <si>
    <t>San Pham</t>
  </si>
  <si>
    <t>Gia Tri</t>
  </si>
  <si>
    <t>NV Phu Trach</t>
  </si>
  <si>
    <t>Ghi Chu</t>
  </si>
  <si>
    <t>25/05/2026</t>
  </si>
  <si>
    <t>Cong ty TNHH A</t>
  </si>
  <si>
    <t>1234567890</t>
  </si>
  <si>
    <t>Tu Van</t>
  </si>
  <si>
    <t>Goi co ban</t>
  </si>
  <si>
    <t>-</t>
  </si>
  <si>
    <t>Minh</t>
  </si>
  <si>
    <t>Hoi ve goi Premium</t>
  </si>
  <si>
    <t>24/05/2026</t>
  </si>
  <si>
    <t>Anh Nguyen Van B</t>
  </si>
  <si>
    <t>1234567891</t>
  </si>
  <si>
    <t>Goi Premium</t>
  </si>
  <si>
    <t>Lan</t>
  </si>
  <si>
    <t>Follow up tuan sau</t>
  </si>
  <si>
    <t>23/05/2026</t>
  </si>
  <si>
    <t>Co Tran Thi C</t>
  </si>
  <si>
    <t>1234567892</t>
  </si>
  <si>
    <t>Mua Hang</t>
  </si>
  <si>
    <t>Thanh toan chuyen khoan</t>
  </si>
  <si>
    <t>22/05/2026</t>
  </si>
  <si>
    <t>Anh Le Van D</t>
  </si>
  <si>
    <t>1234567893</t>
  </si>
  <si>
    <t>Goi VIP</t>
  </si>
  <si>
    <t>Hoan thanh</t>
  </si>
  <si>
    <t>21/05/2026</t>
  </si>
  <si>
    <t>Co Pham Thi E</t>
  </si>
  <si>
    <t>1234567894</t>
  </si>
  <si>
    <t>Mua them san pham</t>
  </si>
  <si>
    <t>20/05/2026</t>
  </si>
  <si>
    <t>Anh Bui Van F</t>
  </si>
  <si>
    <t>1234567895</t>
  </si>
  <si>
    <t>Cham Soc</t>
  </si>
  <si>
    <t>Hoi ve giao hang</t>
  </si>
  <si>
    <t>19/05/2026</t>
  </si>
  <si>
    <t>Co Do Thi G</t>
  </si>
  <si>
    <t>1234567896</t>
  </si>
  <si>
    <t>Khieu nai san pham</t>
  </si>
  <si>
    <t>18/05/2026</t>
  </si>
  <si>
    <t>Cong ty HHC</t>
  </si>
  <si>
    <t>1234567897</t>
  </si>
  <si>
    <t>Goi Enterprise</t>
  </si>
  <si>
    <t>Ky hop dong 2 nam</t>
  </si>
  <si>
    <t>17/05/2026</t>
  </si>
  <si>
    <t>Anh Hoang Van H</t>
  </si>
  <si>
    <t>1234567898</t>
  </si>
  <si>
    <t>Gap khach 28/05</t>
  </si>
  <si>
    <t>16/05/2026</t>
  </si>
  <si>
    <t>Co Mai Thi I</t>
  </si>
  <si>
    <t>1234567899</t>
  </si>
  <si>
    <t>Giao hang hom nay</t>
  </si>
  <si>
    <t>15/05/2026</t>
  </si>
  <si>
    <t>Anh Dang Van J</t>
  </si>
  <si>
    <t>1234567900</t>
  </si>
  <si>
    <t>Renewal 30/05</t>
  </si>
  <si>
    <t>Cong ty VinaCorp</t>
  </si>
  <si>
    <t>1234567901</t>
  </si>
  <si>
    <t>Hoi ve tich hop API</t>
  </si>
  <si>
    <t>14/05/2026</t>
  </si>
  <si>
    <t>Co Nguyen Thi K</t>
  </si>
  <si>
    <t>1234567902</t>
  </si>
  <si>
    <t>Thanh toan tien mat</t>
  </si>
  <si>
    <t>13/05/2026</t>
  </si>
  <si>
    <t>Anh Tran Van L</t>
  </si>
  <si>
    <t>1234567903</t>
  </si>
  <si>
    <t>Dang xem demo</t>
  </si>
  <si>
    <t>12/05/2026</t>
  </si>
  <si>
    <t>Co Le Thi M</t>
  </si>
  <si>
    <t>1234567904</t>
  </si>
  <si>
    <t>Mua 2 goi</t>
  </si>
  <si>
    <t>11/05/2026</t>
  </si>
  <si>
    <t>Anh Pham Van N</t>
  </si>
  <si>
    <t>1234567905</t>
  </si>
  <si>
    <t>Hoi ve hoa don</t>
  </si>
  <si>
    <t>10/05/2026</t>
  </si>
  <si>
    <t>Cong ty ABC</t>
  </si>
  <si>
    <t>1234567906</t>
  </si>
  <si>
    <t>Ky HD 12 thang</t>
  </si>
  <si>
    <t>09/05/2026</t>
  </si>
  <si>
    <t>Co Vu Thi O</t>
  </si>
  <si>
    <t>1234567907</t>
  </si>
  <si>
    <t>Gioi thieu tu khach cu</t>
  </si>
  <si>
    <t>TONG CONG</t>
  </si>
  <si>
    <t>Thang</t>
  </si>
  <si>
    <t>Goi Co Ban</t>
  </si>
  <si>
    <t>Tong</t>
  </si>
  <si>
    <t>TONG</t>
  </si>
  <si>
    <t>Thoi Gian</t>
  </si>
  <si>
    <t>Khach Hang</t>
  </si>
  <si>
    <t>Hanh Dong</t>
  </si>
  <si>
    <t>NV</t>
  </si>
  <si>
    <t>Ket Qua</t>
  </si>
  <si>
    <t>09:15</t>
  </si>
  <si>
    <t>Tra loi hoi san pham</t>
  </si>
  <si>
    <t>Khach quan tam goi Premium</t>
  </si>
  <si>
    <t>10:30</t>
  </si>
  <si>
    <t>Follow up</t>
  </si>
  <si>
    <t>Gap hen 28/05</t>
  </si>
  <si>
    <t>Khach can them thong tin</t>
  </si>
  <si>
    <t>14:00</t>
  </si>
  <si>
    <t>Xu ly don hang</t>
  </si>
  <si>
    <t>Duyet 2 san pham</t>
  </si>
  <si>
    <t>08:45</t>
  </si>
  <si>
    <t>Giao hang 26/05</t>
  </si>
  <si>
    <t>Khach mua them voucher</t>
  </si>
  <si>
    <t>11:20</t>
  </si>
  <si>
    <t>Tu van san pham</t>
  </si>
  <si>
    <t>Chuyen sang tu van</t>
  </si>
  <si>
    <t>Chua san sang mua</t>
  </si>
  <si>
    <t>15:00</t>
  </si>
  <si>
    <t>Ky hop dong</t>
  </si>
  <si>
    <t>Da ky HD</t>
  </si>
  <si>
    <t>HD 2 nam, gia 45M</t>
  </si>
  <si>
    <t>09:00</t>
  </si>
  <si>
    <t>Hoi giao hang</t>
  </si>
  <si>
    <t>Xac nhan ngay giao</t>
  </si>
  <si>
    <t>Giao sang mai 8h</t>
  </si>
  <si>
    <t>13:30</t>
  </si>
  <si>
    <t>Renewal</t>
  </si>
  <si>
    <t>Gui hop dong</t>
  </si>
  <si>
    <t>10:00</t>
  </si>
  <si>
    <t>Hoi tich hop API</t>
  </si>
  <si>
    <t>Gap kythuat 26/05</t>
  </si>
  <si>
    <t>Yeu cau phuc tap</t>
  </si>
  <si>
    <t>16:00</t>
  </si>
  <si>
    <t>Thanh toan</t>
  </si>
  <si>
    <t>Da thanh toan 15M</t>
  </si>
  <si>
    <t>Tien mat</t>
  </si>
  <si>
    <t>09:30</t>
  </si>
  <si>
    <t>Cham soc</t>
  </si>
  <si>
    <t>Giai dap thac mac</t>
  </si>
  <si>
    <t>Su dung 1 thang</t>
  </si>
  <si>
    <t>Mua them</t>
  </si>
  <si>
    <t>Mua 1 goi them</t>
  </si>
  <si>
    <t>Giao ngay hom sau</t>
  </si>
  <si>
    <t>Demo</t>
  </si>
  <si>
    <t>15:30</t>
  </si>
  <si>
    <t>Khieu nai</t>
  </si>
  <si>
    <t>Doi tra 27/05</t>
  </si>
  <si>
    <t>San pham loi</t>
  </si>
</sst>
</file>

<file path=xl/styles.xml><?xml version="1.0" encoding="utf-8"?>
<styleSheet xmlns="http://schemas.openxmlformats.org/spreadsheetml/2006/main">
  <numFmts count="1">
    <numFmt numFmtId="164" formatCode="#,##0 &quot;VND&quot;"/>
  </numFmts>
  <fonts count="16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5"/>
      <color rgb="FFFFFFFF"/>
      <name val="Calibri"/>
      <family val="2"/>
      <scheme val="minor"/>
    </font>
    <font>
      <sz val="9"/>
      <color rgb="FF555555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856404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155724"/>
      <name val="Calibri"/>
      <family val="2"/>
      <scheme val="minor"/>
    </font>
    <font>
      <sz val="9"/>
      <color rgb="FF004085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1B3A5C"/>
        <bgColor indexed="64"/>
      </patternFill>
    </fill>
    <fill>
      <patternFill patternType="solid">
        <fgColor rgb="FF2E5F8A"/>
        <bgColor indexed="64"/>
      </patternFill>
    </fill>
    <fill>
      <patternFill patternType="solid">
        <fgColor rgb="FF4A7FB0"/>
        <bgColor indexed="64"/>
      </patternFill>
    </fill>
    <fill>
      <patternFill patternType="solid">
        <fgColor rgb="FF0D1F33"/>
        <bgColor indexed="64"/>
      </patternFill>
    </fill>
    <fill>
      <patternFill patternType="solid">
        <fgColor rgb="FFEEF4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CCE5FF"/>
        <bgColor indexed="64"/>
      </patternFill>
    </fill>
    <fill>
      <patternFill patternType="solid">
        <fgColor rgb="FFD9E2EF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A7FB0"/>
      </left>
      <right style="thin">
        <color rgb="FF4A7FB0"/>
      </right>
      <top style="thin">
        <color rgb="FF4A7FB0"/>
      </top>
      <bottom style="thin">
        <color rgb="FF4A7FB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rgb="FF1B3A5C"/>
      </left>
      <right style="medium">
        <color rgb="FF1B3A5C"/>
      </right>
      <top style="medium">
        <color rgb="FF1B3A5C"/>
      </top>
      <bottom style="medium">
        <color rgb="FF1B3A5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1" xfId="0" applyBorder="1"/>
    <xf numFmtId="0" fontId="3" fillId="2" borderId="0" xfId="0" applyFont="1" applyFill="1"/>
    <xf numFmtId="0" fontId="4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vertical="center"/>
    </xf>
    <xf numFmtId="0" fontId="9" fillId="7" borderId="4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vertical="center"/>
    </xf>
    <xf numFmtId="0" fontId="10" fillId="8" borderId="1" xfId="0" applyFont="1" applyFill="1" applyBorder="1" applyAlignment="1">
      <alignment horizontal="center" vertical="center"/>
    </xf>
    <xf numFmtId="164" fontId="11" fillId="6" borderId="1" xfId="0" applyNumberFormat="1" applyFont="1" applyFill="1" applyBorder="1" applyAlignment="1">
      <alignment vertical="center"/>
    </xf>
    <xf numFmtId="0" fontId="9" fillId="7" borderId="1" xfId="0" applyFont="1" applyFill="1" applyBorder="1" applyAlignment="1">
      <alignment vertical="center"/>
    </xf>
    <xf numFmtId="164" fontId="11" fillId="7" borderId="1" xfId="0" applyNumberFormat="1" applyFont="1" applyFill="1" applyBorder="1" applyAlignment="1">
      <alignment vertical="center"/>
    </xf>
    <xf numFmtId="0" fontId="12" fillId="9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4" fillId="11" borderId="5" xfId="0" applyFont="1" applyFill="1" applyBorder="1" applyAlignment="1">
      <alignment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5" fillId="2" borderId="6" xfId="0" applyNumberFormat="1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vertical="center"/>
    </xf>
    <xf numFmtId="0" fontId="11" fillId="7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Khach moi theo thang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Khach moi</c:v>
          </c:tx>
          <c:spPr>
            <a:solidFill>
              <a:srgbClr val="1B3A5C"/>
            </a:solidFill>
          </c:spPr>
          <c:cat>
            <c:strRef>
              <c:f>'Tong Quan'!$A$21:$E$21</c:f>
              <c:strCache>
                <c:ptCount val="5"/>
                <c:pt idx="0">
                  <c:v>Thang 1</c:v>
                </c:pt>
                <c:pt idx="1">
                  <c:v>Thang 2</c:v>
                </c:pt>
                <c:pt idx="2">
                  <c:v>Thang 3</c:v>
                </c:pt>
                <c:pt idx="3">
                  <c:v>Thang 4</c:v>
                </c:pt>
                <c:pt idx="4">
                  <c:v>Thang 5</c:v>
                </c:pt>
              </c:strCache>
            </c:strRef>
          </c:cat>
          <c:val>
            <c:numRef>
              <c:f>'Tong Quan'!$A$22:$E$22</c:f>
              <c:numCache>
                <c:formatCode>General</c:formatCode>
                <c:ptCount val="5"/>
                <c:pt idx="0">
                  <c:v>7</c:v>
                </c:pt>
                <c:pt idx="1">
                  <c:v>9</c:v>
                </c:pt>
                <c:pt idx="2">
                  <c:v>11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</c:ser>
        <c:gapWidth val="5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Thang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 khach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Gia tri theo trang thai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Doanh thu</c:v>
          </c:tx>
          <c:spPr>
            <a:solidFill>
              <a:srgbClr val="1B3A5C"/>
            </a:solidFill>
          </c:spPr>
          <c:cat>
            <c:strRef>
              <c:f>'DS Khach Hang'!$E$2:$E$19</c:f>
              <c:strCache>
                <c:ptCount val="18"/>
                <c:pt idx="0">
                  <c:v>Tu Van</c:v>
                </c:pt>
                <c:pt idx="1">
                  <c:v>Tu Van</c:v>
                </c:pt>
                <c:pt idx="2">
                  <c:v>Mua Hang</c:v>
                </c:pt>
                <c:pt idx="3">
                  <c:v>Mua Hang</c:v>
                </c:pt>
                <c:pt idx="4">
                  <c:v>Mua Hang</c:v>
                </c:pt>
                <c:pt idx="5">
                  <c:v>Cham Soc</c:v>
                </c:pt>
                <c:pt idx="6">
                  <c:v>Cham Soc</c:v>
                </c:pt>
                <c:pt idx="7">
                  <c:v>Mua Hang</c:v>
                </c:pt>
                <c:pt idx="8">
                  <c:v>Tu Van</c:v>
                </c:pt>
                <c:pt idx="9">
                  <c:v>Mua Hang</c:v>
                </c:pt>
                <c:pt idx="10">
                  <c:v>Cham Soc</c:v>
                </c:pt>
                <c:pt idx="11">
                  <c:v>Tu Van</c:v>
                </c:pt>
                <c:pt idx="12">
                  <c:v>Mua Hang</c:v>
                </c:pt>
                <c:pt idx="13">
                  <c:v>Tu Van</c:v>
                </c:pt>
                <c:pt idx="14">
                  <c:v>Mua Hang</c:v>
                </c:pt>
                <c:pt idx="15">
                  <c:v>Cham Soc</c:v>
                </c:pt>
                <c:pt idx="16">
                  <c:v>Mua Hang</c:v>
                </c:pt>
                <c:pt idx="17">
                  <c:v>Tu Van</c:v>
                </c:pt>
              </c:strCache>
            </c:strRef>
          </c:cat>
          <c:val>
            <c:numRef>
              <c:f>'DS Khach Hang'!$G$2:$G$19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15000000</c:v>
                </c:pt>
                <c:pt idx="3">
                  <c:v>28000000</c:v>
                </c:pt>
                <c:pt idx="4">
                  <c:v>8000000</c:v>
                </c:pt>
                <c:pt idx="5">
                  <c:v>0</c:v>
                </c:pt>
                <c:pt idx="6">
                  <c:v>0</c:v>
                </c:pt>
                <c:pt idx="7">
                  <c:v>45000000</c:v>
                </c:pt>
                <c:pt idx="8">
                  <c:v>0</c:v>
                </c:pt>
                <c:pt idx="9">
                  <c:v>15000000</c:v>
                </c:pt>
                <c:pt idx="10">
                  <c:v>0</c:v>
                </c:pt>
                <c:pt idx="11">
                  <c:v>0</c:v>
                </c:pt>
                <c:pt idx="12">
                  <c:v>15000000</c:v>
                </c:pt>
                <c:pt idx="13">
                  <c:v>0</c:v>
                </c:pt>
                <c:pt idx="14">
                  <c:v>22000000</c:v>
                </c:pt>
                <c:pt idx="15">
                  <c:v>0</c:v>
                </c:pt>
                <c:pt idx="16">
                  <c:v>38000000</c:v>
                </c:pt>
                <c:pt idx="17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Gia tri (VND)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Trang Thai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Doanh thu theo thang va san pham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Goi Co Ban</c:v>
          </c:tx>
          <c:spPr>
            <a:solidFill>
              <a:srgbClr val="4A7FB0"/>
            </a:solidFill>
          </c:spPr>
          <c:cat>
            <c:strRef>
              <c:f>'Doanh Thu'!$A$2:$A$6</c:f>
              <c:strCache>
                <c:ptCount val="5"/>
                <c:pt idx="0">
                  <c:v>Thang 1</c:v>
                </c:pt>
                <c:pt idx="1">
                  <c:v>Thang 2</c:v>
                </c:pt>
                <c:pt idx="2">
                  <c:v>Thang 3</c:v>
                </c:pt>
                <c:pt idx="3">
                  <c:v>Thang 4</c:v>
                </c:pt>
                <c:pt idx="4">
                  <c:v>Thang 5</c:v>
                </c:pt>
              </c:strCache>
            </c:strRef>
          </c:cat>
          <c:val>
            <c:numRef>
              <c:f>'Doanh Thu'!$B$2:$B$6</c:f>
              <c:numCache>
                <c:formatCode>General</c:formatCode>
                <c:ptCount val="5"/>
                <c:pt idx="0">
                  <c:v>24000000</c:v>
                </c:pt>
                <c:pt idx="1">
                  <c:v>32000000</c:v>
                </c:pt>
                <c:pt idx="2">
                  <c:v>28000000</c:v>
                </c:pt>
                <c:pt idx="3">
                  <c:v>36000000</c:v>
                </c:pt>
                <c:pt idx="4">
                  <c:v>40000000</c:v>
                </c:pt>
              </c:numCache>
            </c:numRef>
          </c:val>
        </c:ser>
        <c:ser>
          <c:idx val="1"/>
          <c:order val="1"/>
          <c:tx>
            <c:v>Goi Premium</c:v>
          </c:tx>
          <c:spPr>
            <a:solidFill>
              <a:srgbClr val="2E5F8A"/>
            </a:solidFill>
          </c:spPr>
          <c:cat>
            <c:strRef>
              <c:f>'Doanh Thu'!$A$2:$A$6</c:f>
              <c:strCache>
                <c:ptCount val="5"/>
                <c:pt idx="0">
                  <c:v>Thang 1</c:v>
                </c:pt>
                <c:pt idx="1">
                  <c:v>Thang 2</c:v>
                </c:pt>
                <c:pt idx="2">
                  <c:v>Thang 3</c:v>
                </c:pt>
                <c:pt idx="3">
                  <c:v>Thang 4</c:v>
                </c:pt>
                <c:pt idx="4">
                  <c:v>Thang 5</c:v>
                </c:pt>
              </c:strCache>
            </c:strRef>
          </c:cat>
          <c:val>
            <c:numRef>
              <c:f>'Doanh Thu'!$C$2:$C$6</c:f>
              <c:numCache>
                <c:formatCode>General</c:formatCode>
                <c:ptCount val="5"/>
                <c:pt idx="0">
                  <c:v>54000000</c:v>
                </c:pt>
                <c:pt idx="1">
                  <c:v>67500000</c:v>
                </c:pt>
                <c:pt idx="2">
                  <c:v>72000000</c:v>
                </c:pt>
                <c:pt idx="3">
                  <c:v>63000000</c:v>
                </c:pt>
                <c:pt idx="4">
                  <c:v>90000000</c:v>
                </c:pt>
              </c:numCache>
            </c:numRef>
          </c:val>
        </c:ser>
        <c:ser>
          <c:idx val="2"/>
          <c:order val="2"/>
          <c:tx>
            <c:v>Goi VIP</c:v>
          </c:tx>
          <c:spPr>
            <a:solidFill>
              <a:srgbClr val="1B3A5C"/>
            </a:solidFill>
          </c:spPr>
          <c:cat>
            <c:strRef>
              <c:f>'Doanh Thu'!$A$2:$A$6</c:f>
              <c:strCache>
                <c:ptCount val="5"/>
                <c:pt idx="0">
                  <c:v>Thang 1</c:v>
                </c:pt>
                <c:pt idx="1">
                  <c:v>Thang 2</c:v>
                </c:pt>
                <c:pt idx="2">
                  <c:v>Thang 3</c:v>
                </c:pt>
                <c:pt idx="3">
                  <c:v>Thang 4</c:v>
                </c:pt>
                <c:pt idx="4">
                  <c:v>Thang 5</c:v>
                </c:pt>
              </c:strCache>
            </c:strRef>
          </c:cat>
          <c:val>
            <c:numRef>
              <c:f>'Doanh Thu'!$D$2:$D$6</c:f>
              <c:numCache>
                <c:formatCode>General</c:formatCode>
                <c:ptCount val="5"/>
                <c:pt idx="0">
                  <c:v>44000000</c:v>
                </c:pt>
                <c:pt idx="1">
                  <c:v>66000000</c:v>
                </c:pt>
                <c:pt idx="2">
                  <c:v>55000000</c:v>
                </c:pt>
                <c:pt idx="3">
                  <c:v>44000000</c:v>
                </c:pt>
                <c:pt idx="4">
                  <c:v>66000000</c:v>
                </c:pt>
              </c:numCache>
            </c:numRef>
          </c:val>
        </c:ser>
        <c:ser>
          <c:idx val="3"/>
          <c:order val="3"/>
          <c:tx>
            <c:v>Goi Enterprise</c:v>
          </c:tx>
          <c:spPr>
            <a:solidFill>
              <a:srgbClr val="0D1F33"/>
            </a:solidFill>
          </c:spPr>
          <c:cat>
            <c:strRef>
              <c:f>'Doanh Thu'!$A$2:$A$6</c:f>
              <c:strCache>
                <c:ptCount val="5"/>
                <c:pt idx="0">
                  <c:v>Thang 1</c:v>
                </c:pt>
                <c:pt idx="1">
                  <c:v>Thang 2</c:v>
                </c:pt>
                <c:pt idx="2">
                  <c:v>Thang 3</c:v>
                </c:pt>
                <c:pt idx="3">
                  <c:v>Thang 4</c:v>
                </c:pt>
                <c:pt idx="4">
                  <c:v>Thang 5</c:v>
                </c:pt>
              </c:strCache>
            </c:strRef>
          </c:cat>
          <c:val>
            <c:numRef>
              <c:f>'Doanh Thu'!$E$2:$E$6</c:f>
              <c:numCache>
                <c:formatCode>General</c:formatCode>
                <c:ptCount val="5"/>
                <c:pt idx="0">
                  <c:v>38000000</c:v>
                </c:pt>
                <c:pt idx="1">
                  <c:v>45000000</c:v>
                </c:pt>
                <c:pt idx="2">
                  <c:v>90000000</c:v>
                </c:pt>
                <c:pt idx="3">
                  <c:v>38000000</c:v>
                </c:pt>
                <c:pt idx="4">
                  <c:v>135000000</c:v>
                </c:pt>
              </c:numCache>
            </c:numRef>
          </c:val>
        </c:ser>
        <c:overlap val="100"/>
        <c:axId val="50030001"/>
        <c:axId val="50030002"/>
      </c:barChart>
      <c:catAx>
        <c:axId val="5003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Doanh thu (VND)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Thang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4</xdr:col>
      <xdr:colOff>228600</xdr:colOff>
      <xdr:row>34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3</xdr:col>
      <xdr:colOff>333375</xdr:colOff>
      <xdr:row>33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4</xdr:col>
      <xdr:colOff>742950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showGridLines="0" tabSelected="1" workbookViewId="0"/>
  </sheetViews>
  <sheetFormatPr defaultRowHeight="15"/>
  <cols>
    <col min="1" max="1" width="12.7109375" customWidth="1"/>
    <col min="2" max="2" width="16.7109375" customWidth="1"/>
    <col min="3" max="3" width="10.7109375" customWidth="1"/>
    <col min="4" max="4" width="20.7109375" customWidth="1"/>
    <col min="5" max="5" width="14.7109375" customWidth="1"/>
    <col min="6" max="6" width="2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5" spans="1:8" ht="14" customHeight="1">
      <c r="A5" s="3"/>
      <c r="B5" s="3"/>
      <c r="C5" s="3"/>
      <c r="D5" s="3"/>
      <c r="E5" s="3"/>
      <c r="F5" s="3"/>
      <c r="G5" s="3"/>
      <c r="H5" s="3"/>
    </row>
    <row r="6" spans="1:8" ht="36" customHeight="1">
      <c r="A6" s="3"/>
      <c r="B6" s="3"/>
      <c r="C6" s="3"/>
      <c r="D6" s="3"/>
      <c r="E6" s="3"/>
      <c r="F6" s="3"/>
      <c r="G6" s="3"/>
      <c r="H6" s="3"/>
    </row>
    <row r="7" spans="1:8" ht="18" customHeight="1">
      <c r="A7" s="3"/>
      <c r="B7" s="3"/>
      <c r="C7" s="3"/>
      <c r="D7" s="3"/>
      <c r="E7" s="3"/>
      <c r="F7" s="3"/>
      <c r="G7" s="3"/>
      <c r="H7" s="3"/>
    </row>
    <row r="8" spans="1:8" ht="14" customHeight="1"/>
    <row r="9" spans="1:8">
      <c r="A9" s="4" t="s">
        <v>14</v>
      </c>
      <c r="B9" s="4"/>
      <c r="C9" s="4"/>
      <c r="D9" s="4"/>
      <c r="E9" s="4"/>
      <c r="F9" s="4"/>
      <c r="G9" s="4"/>
      <c r="H9" s="4"/>
    </row>
    <row r="10" spans="1:8" ht="22" customHeight="1">
      <c r="A10" s="5" t="s">
        <v>15</v>
      </c>
      <c r="B10" s="5"/>
      <c r="C10" s="6" t="s">
        <v>17</v>
      </c>
      <c r="D10" s="6"/>
      <c r="E10" s="7" t="s">
        <v>19</v>
      </c>
      <c r="F10" s="7"/>
      <c r="G10" s="8" t="s">
        <v>21</v>
      </c>
      <c r="H10" s="8"/>
    </row>
    <row r="11" spans="1:8">
      <c r="A11" s="9" t="s">
        <v>16</v>
      </c>
      <c r="B11" s="9"/>
      <c r="C11" s="9" t="s">
        <v>18</v>
      </c>
      <c r="D11" s="9"/>
      <c r="E11" s="9" t="s">
        <v>20</v>
      </c>
      <c r="F11" s="9"/>
      <c r="G11" s="9" t="s">
        <v>22</v>
      </c>
      <c r="H11" s="9"/>
    </row>
    <row r="12" spans="1:8">
      <c r="A12" s="4" t="s">
        <v>23</v>
      </c>
      <c r="B12" s="4"/>
      <c r="C12" s="4"/>
      <c r="D12" s="4"/>
      <c r="E12" s="4"/>
      <c r="F12" s="4"/>
      <c r="G12" s="4"/>
      <c r="H12" s="4"/>
    </row>
    <row r="13" spans="1:8" ht="18" customHeight="1">
      <c r="A13" s="10" t="s">
        <v>24</v>
      </c>
      <c r="B13" s="10" t="s">
        <v>25</v>
      </c>
      <c r="C13" s="10" t="s">
        <v>26</v>
      </c>
      <c r="D13" s="10" t="s">
        <v>27</v>
      </c>
      <c r="E13" s="10" t="s">
        <v>28</v>
      </c>
      <c r="F13" s="10" t="s">
        <v>29</v>
      </c>
    </row>
    <row r="14" spans="1:8" ht="16" customHeight="1">
      <c r="A14" s="11" t="s">
        <v>30</v>
      </c>
      <c r="B14" s="11" t="s">
        <v>31</v>
      </c>
      <c r="C14" s="11" t="s">
        <v>32</v>
      </c>
      <c r="D14" s="11" t="s">
        <v>33</v>
      </c>
      <c r="E14" s="11" t="s">
        <v>34</v>
      </c>
      <c r="F14" s="11" t="s">
        <v>35</v>
      </c>
    </row>
    <row r="15" spans="1:8" ht="16" customHeight="1">
      <c r="A15" s="12" t="s">
        <v>36</v>
      </c>
      <c r="B15" s="12" t="s">
        <v>37</v>
      </c>
      <c r="C15" s="12" t="s">
        <v>38</v>
      </c>
      <c r="D15" s="12" t="s">
        <v>39</v>
      </c>
      <c r="E15" s="12" t="s">
        <v>40</v>
      </c>
      <c r="F15" s="12" t="s">
        <v>41</v>
      </c>
    </row>
    <row r="16" spans="1:8" ht="16" customHeight="1">
      <c r="A16" s="11" t="s">
        <v>42</v>
      </c>
      <c r="B16" s="11" t="s">
        <v>43</v>
      </c>
      <c r="C16" s="11" t="s">
        <v>44</v>
      </c>
      <c r="D16" s="11" t="s">
        <v>45</v>
      </c>
      <c r="E16" s="11" t="s">
        <v>34</v>
      </c>
      <c r="F16" s="11" t="s">
        <v>46</v>
      </c>
    </row>
    <row r="17" spans="1:8" ht="16" customHeight="1">
      <c r="A17" s="12" t="s">
        <v>47</v>
      </c>
      <c r="B17" s="12" t="s">
        <v>48</v>
      </c>
      <c r="C17" s="12" t="s">
        <v>32</v>
      </c>
      <c r="D17" s="12" t="s">
        <v>49</v>
      </c>
      <c r="E17" s="12" t="s">
        <v>40</v>
      </c>
      <c r="F17" s="12" t="s">
        <v>50</v>
      </c>
    </row>
    <row r="18" spans="1:8" ht="16" customHeight="1">
      <c r="A18" s="11" t="s">
        <v>51</v>
      </c>
      <c r="B18" s="11" t="s">
        <v>52</v>
      </c>
      <c r="C18" s="11" t="s">
        <v>53</v>
      </c>
      <c r="D18" s="11" t="s">
        <v>54</v>
      </c>
      <c r="E18" s="11" t="s">
        <v>34</v>
      </c>
      <c r="F18" s="11" t="s">
        <v>55</v>
      </c>
    </row>
    <row r="20" spans="1:8">
      <c r="A20" s="4" t="s">
        <v>56</v>
      </c>
      <c r="B20" s="4"/>
      <c r="C20" s="4"/>
      <c r="D20" s="4"/>
      <c r="E20" s="4"/>
      <c r="F20" s="4"/>
      <c r="G20" s="4"/>
      <c r="H20" s="4"/>
    </row>
    <row r="21" spans="1:8">
      <c r="A21" s="3" t="s">
        <v>57</v>
      </c>
      <c r="B21" s="3" t="s">
        <v>58</v>
      </c>
      <c r="C21" s="3" t="s">
        <v>59</v>
      </c>
      <c r="D21" s="3" t="s">
        <v>60</v>
      </c>
      <c r="E21" s="3" t="s">
        <v>61</v>
      </c>
    </row>
    <row r="22" spans="1:8">
      <c r="A22" s="3">
        <v>7</v>
      </c>
      <c r="B22" s="3">
        <v>9</v>
      </c>
      <c r="C22" s="3">
        <v>11</v>
      </c>
      <c r="D22" s="3">
        <v>8</v>
      </c>
      <c r="E22" s="3">
        <v>12</v>
      </c>
    </row>
  </sheetData>
  <mergeCells count="25">
    <mergeCell ref="A1:H2"/>
    <mergeCell ref="A3:H3"/>
    <mergeCell ref="A5:B5"/>
    <mergeCell ref="A6:B6"/>
    <mergeCell ref="A7:B7"/>
    <mergeCell ref="C5:D5"/>
    <mergeCell ref="C6:D6"/>
    <mergeCell ref="C7:D7"/>
    <mergeCell ref="E5:F5"/>
    <mergeCell ref="E6:F6"/>
    <mergeCell ref="E7:F7"/>
    <mergeCell ref="G5:H5"/>
    <mergeCell ref="G6:H6"/>
    <mergeCell ref="G7:H7"/>
    <mergeCell ref="A9:H9"/>
    <mergeCell ref="A10:B10"/>
    <mergeCell ref="A11:B11"/>
    <mergeCell ref="C10:D10"/>
    <mergeCell ref="C11:D11"/>
    <mergeCell ref="E10:F10"/>
    <mergeCell ref="E11:F11"/>
    <mergeCell ref="G10:H10"/>
    <mergeCell ref="G11:H11"/>
    <mergeCell ref="A12:H12"/>
    <mergeCell ref="A20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2.7109375" customWidth="1"/>
    <col min="3" max="3" width="14.7109375" customWidth="1"/>
    <col min="4" max="5" width="12.7109375" customWidth="1"/>
    <col min="6" max="7" width="16.7109375" customWidth="1"/>
    <col min="8" max="8" width="14.7109375" customWidth="1"/>
    <col min="9" max="9" width="24.7109375" customWidth="1"/>
  </cols>
  <sheetData>
    <row r="1" spans="1:9" ht="28" customHeight="1">
      <c r="A1" s="13" t="s">
        <v>62</v>
      </c>
      <c r="B1" s="13" t="s">
        <v>63</v>
      </c>
      <c r="C1" s="13" t="s">
        <v>64</v>
      </c>
      <c r="D1" s="13" t="s">
        <v>26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</row>
    <row r="2" spans="1:9" ht="18" customHeight="1">
      <c r="A2" s="14" t="s">
        <v>70</v>
      </c>
      <c r="B2" s="14" t="s">
        <v>71</v>
      </c>
      <c r="C2" s="14" t="s">
        <v>72</v>
      </c>
      <c r="D2" s="14" t="s">
        <v>32</v>
      </c>
      <c r="E2" s="15" t="s">
        <v>73</v>
      </c>
      <c r="F2" s="14" t="s">
        <v>74</v>
      </c>
      <c r="G2" s="16" t="s">
        <v>75</v>
      </c>
      <c r="H2" s="14" t="s">
        <v>76</v>
      </c>
      <c r="I2" s="14" t="s">
        <v>77</v>
      </c>
    </row>
    <row r="3" spans="1:9" ht="18" customHeight="1">
      <c r="A3" s="17" t="s">
        <v>78</v>
      </c>
      <c r="B3" s="17" t="s">
        <v>79</v>
      </c>
      <c r="C3" s="17" t="s">
        <v>80</v>
      </c>
      <c r="D3" s="17" t="s">
        <v>38</v>
      </c>
      <c r="E3" s="15" t="s">
        <v>73</v>
      </c>
      <c r="F3" s="17" t="s">
        <v>81</v>
      </c>
      <c r="G3" s="18" t="s">
        <v>75</v>
      </c>
      <c r="H3" s="17" t="s">
        <v>82</v>
      </c>
      <c r="I3" s="17" t="s">
        <v>83</v>
      </c>
    </row>
    <row r="4" spans="1:9" ht="18" customHeight="1">
      <c r="A4" s="14" t="s">
        <v>84</v>
      </c>
      <c r="B4" s="14" t="s">
        <v>85</v>
      </c>
      <c r="C4" s="14" t="s">
        <v>86</v>
      </c>
      <c r="D4" s="14" t="s">
        <v>44</v>
      </c>
      <c r="E4" s="19" t="s">
        <v>87</v>
      </c>
      <c r="F4" s="14" t="s">
        <v>81</v>
      </c>
      <c r="G4" s="16">
        <v>15000000</v>
      </c>
      <c r="H4" s="14" t="s">
        <v>76</v>
      </c>
      <c r="I4" s="14" t="s">
        <v>88</v>
      </c>
    </row>
    <row r="5" spans="1:9" ht="18" customHeight="1">
      <c r="A5" s="17" t="s">
        <v>89</v>
      </c>
      <c r="B5" s="17" t="s">
        <v>90</v>
      </c>
      <c r="C5" s="17" t="s">
        <v>91</v>
      </c>
      <c r="D5" s="17" t="s">
        <v>32</v>
      </c>
      <c r="E5" s="19" t="s">
        <v>87</v>
      </c>
      <c r="F5" s="17" t="s">
        <v>92</v>
      </c>
      <c r="G5" s="18">
        <v>28000000</v>
      </c>
      <c r="H5" s="17" t="s">
        <v>82</v>
      </c>
      <c r="I5" s="17" t="s">
        <v>93</v>
      </c>
    </row>
    <row r="6" spans="1:9" ht="18" customHeight="1">
      <c r="A6" s="14" t="s">
        <v>94</v>
      </c>
      <c r="B6" s="14" t="s">
        <v>95</v>
      </c>
      <c r="C6" s="14" t="s">
        <v>96</v>
      </c>
      <c r="D6" s="14" t="s">
        <v>53</v>
      </c>
      <c r="E6" s="19" t="s">
        <v>87</v>
      </c>
      <c r="F6" s="14" t="s">
        <v>74</v>
      </c>
      <c r="G6" s="16">
        <v>8000000</v>
      </c>
      <c r="H6" s="14" t="s">
        <v>76</v>
      </c>
      <c r="I6" s="14" t="s">
        <v>97</v>
      </c>
    </row>
    <row r="7" spans="1:9" ht="18" customHeight="1">
      <c r="A7" s="17" t="s">
        <v>98</v>
      </c>
      <c r="B7" s="17" t="s">
        <v>99</v>
      </c>
      <c r="C7" s="17" t="s">
        <v>100</v>
      </c>
      <c r="D7" s="17" t="s">
        <v>38</v>
      </c>
      <c r="E7" s="20" t="s">
        <v>101</v>
      </c>
      <c r="F7" s="17" t="s">
        <v>81</v>
      </c>
      <c r="G7" s="18" t="s">
        <v>75</v>
      </c>
      <c r="H7" s="17" t="s">
        <v>82</v>
      </c>
      <c r="I7" s="17" t="s">
        <v>102</v>
      </c>
    </row>
    <row r="8" spans="1:9" ht="18" customHeight="1">
      <c r="A8" s="14" t="s">
        <v>103</v>
      </c>
      <c r="B8" s="14" t="s">
        <v>104</v>
      </c>
      <c r="C8" s="14" t="s">
        <v>105</v>
      </c>
      <c r="D8" s="14" t="s">
        <v>32</v>
      </c>
      <c r="E8" s="20" t="s">
        <v>101</v>
      </c>
      <c r="F8" s="14" t="s">
        <v>92</v>
      </c>
      <c r="G8" s="16" t="s">
        <v>75</v>
      </c>
      <c r="H8" s="14" t="s">
        <v>76</v>
      </c>
      <c r="I8" s="14" t="s">
        <v>106</v>
      </c>
    </row>
    <row r="9" spans="1:9" ht="18" customHeight="1">
      <c r="A9" s="17" t="s">
        <v>107</v>
      </c>
      <c r="B9" s="17" t="s">
        <v>108</v>
      </c>
      <c r="C9" s="17" t="s">
        <v>109</v>
      </c>
      <c r="D9" s="17" t="s">
        <v>44</v>
      </c>
      <c r="E9" s="19" t="s">
        <v>87</v>
      </c>
      <c r="F9" s="17" t="s">
        <v>110</v>
      </c>
      <c r="G9" s="18">
        <v>45000000</v>
      </c>
      <c r="H9" s="17" t="s">
        <v>82</v>
      </c>
      <c r="I9" s="17" t="s">
        <v>111</v>
      </c>
    </row>
    <row r="10" spans="1:9" ht="18" customHeight="1">
      <c r="A10" s="14" t="s">
        <v>112</v>
      </c>
      <c r="B10" s="14" t="s">
        <v>113</v>
      </c>
      <c r="C10" s="14" t="s">
        <v>114</v>
      </c>
      <c r="D10" s="14" t="s">
        <v>53</v>
      </c>
      <c r="E10" s="15" t="s">
        <v>73</v>
      </c>
      <c r="F10" s="14" t="s">
        <v>81</v>
      </c>
      <c r="G10" s="16" t="s">
        <v>75</v>
      </c>
      <c r="H10" s="14" t="s">
        <v>76</v>
      </c>
      <c r="I10" s="14" t="s">
        <v>115</v>
      </c>
    </row>
    <row r="11" spans="1:9" ht="18" customHeight="1">
      <c r="A11" s="17" t="s">
        <v>116</v>
      </c>
      <c r="B11" s="17" t="s">
        <v>117</v>
      </c>
      <c r="C11" s="17" t="s">
        <v>118</v>
      </c>
      <c r="D11" s="17" t="s">
        <v>32</v>
      </c>
      <c r="E11" s="19" t="s">
        <v>87</v>
      </c>
      <c r="F11" s="17" t="s">
        <v>81</v>
      </c>
      <c r="G11" s="18">
        <v>15000000</v>
      </c>
      <c r="H11" s="17" t="s">
        <v>82</v>
      </c>
      <c r="I11" s="17" t="s">
        <v>119</v>
      </c>
    </row>
    <row r="12" spans="1:9" ht="18" customHeight="1">
      <c r="A12" s="14" t="s">
        <v>120</v>
      </c>
      <c r="B12" s="14" t="s">
        <v>121</v>
      </c>
      <c r="C12" s="14" t="s">
        <v>122</v>
      </c>
      <c r="D12" s="14" t="s">
        <v>38</v>
      </c>
      <c r="E12" s="20" t="s">
        <v>101</v>
      </c>
      <c r="F12" s="14" t="s">
        <v>110</v>
      </c>
      <c r="G12" s="16" t="s">
        <v>75</v>
      </c>
      <c r="H12" s="14" t="s">
        <v>76</v>
      </c>
      <c r="I12" s="14" t="s">
        <v>123</v>
      </c>
    </row>
    <row r="13" spans="1:9" ht="18" customHeight="1">
      <c r="A13" s="17" t="s">
        <v>120</v>
      </c>
      <c r="B13" s="17" t="s">
        <v>124</v>
      </c>
      <c r="C13" s="17" t="s">
        <v>125</v>
      </c>
      <c r="D13" s="17" t="s">
        <v>32</v>
      </c>
      <c r="E13" s="15" t="s">
        <v>73</v>
      </c>
      <c r="F13" s="17" t="s">
        <v>110</v>
      </c>
      <c r="G13" s="18" t="s">
        <v>75</v>
      </c>
      <c r="H13" s="17" t="s">
        <v>82</v>
      </c>
      <c r="I13" s="17" t="s">
        <v>126</v>
      </c>
    </row>
    <row r="14" spans="1:9" ht="18" customHeight="1">
      <c r="A14" s="14" t="s">
        <v>127</v>
      </c>
      <c r="B14" s="14" t="s">
        <v>128</v>
      </c>
      <c r="C14" s="14" t="s">
        <v>129</v>
      </c>
      <c r="D14" s="14" t="s">
        <v>44</v>
      </c>
      <c r="E14" s="19" t="s">
        <v>87</v>
      </c>
      <c r="F14" s="14" t="s">
        <v>81</v>
      </c>
      <c r="G14" s="16">
        <v>15000000</v>
      </c>
      <c r="H14" s="14" t="s">
        <v>76</v>
      </c>
      <c r="I14" s="14" t="s">
        <v>130</v>
      </c>
    </row>
    <row r="15" spans="1:9" ht="18" customHeight="1">
      <c r="A15" s="17" t="s">
        <v>131</v>
      </c>
      <c r="B15" s="17" t="s">
        <v>132</v>
      </c>
      <c r="C15" s="17" t="s">
        <v>133</v>
      </c>
      <c r="D15" s="17" t="s">
        <v>53</v>
      </c>
      <c r="E15" s="15" t="s">
        <v>73</v>
      </c>
      <c r="F15" s="17" t="s">
        <v>74</v>
      </c>
      <c r="G15" s="18" t="s">
        <v>75</v>
      </c>
      <c r="H15" s="17" t="s">
        <v>82</v>
      </c>
      <c r="I15" s="17" t="s">
        <v>134</v>
      </c>
    </row>
    <row r="16" spans="1:9" ht="18" customHeight="1">
      <c r="A16" s="14" t="s">
        <v>135</v>
      </c>
      <c r="B16" s="14" t="s">
        <v>136</v>
      </c>
      <c r="C16" s="14" t="s">
        <v>137</v>
      </c>
      <c r="D16" s="14" t="s">
        <v>32</v>
      </c>
      <c r="E16" s="19" t="s">
        <v>87</v>
      </c>
      <c r="F16" s="14" t="s">
        <v>92</v>
      </c>
      <c r="G16" s="16">
        <v>22000000</v>
      </c>
      <c r="H16" s="14" t="s">
        <v>76</v>
      </c>
      <c r="I16" s="14" t="s">
        <v>138</v>
      </c>
    </row>
    <row r="17" spans="1:9" ht="18" customHeight="1">
      <c r="A17" s="17" t="s">
        <v>139</v>
      </c>
      <c r="B17" s="17" t="s">
        <v>140</v>
      </c>
      <c r="C17" s="17" t="s">
        <v>141</v>
      </c>
      <c r="D17" s="17" t="s">
        <v>38</v>
      </c>
      <c r="E17" s="20" t="s">
        <v>101</v>
      </c>
      <c r="F17" s="17" t="s">
        <v>81</v>
      </c>
      <c r="G17" s="18" t="s">
        <v>75</v>
      </c>
      <c r="H17" s="17" t="s">
        <v>82</v>
      </c>
      <c r="I17" s="17" t="s">
        <v>142</v>
      </c>
    </row>
    <row r="18" spans="1:9" ht="18" customHeight="1">
      <c r="A18" s="14" t="s">
        <v>143</v>
      </c>
      <c r="B18" s="14" t="s">
        <v>144</v>
      </c>
      <c r="C18" s="14" t="s">
        <v>145</v>
      </c>
      <c r="D18" s="14" t="s">
        <v>44</v>
      </c>
      <c r="E18" s="19" t="s">
        <v>87</v>
      </c>
      <c r="F18" s="14" t="s">
        <v>110</v>
      </c>
      <c r="G18" s="16">
        <v>38000000</v>
      </c>
      <c r="H18" s="14" t="s">
        <v>76</v>
      </c>
      <c r="I18" s="14" t="s">
        <v>146</v>
      </c>
    </row>
    <row r="19" spans="1:9" ht="18" customHeight="1">
      <c r="A19" s="17" t="s">
        <v>147</v>
      </c>
      <c r="B19" s="17" t="s">
        <v>148</v>
      </c>
      <c r="C19" s="17" t="s">
        <v>149</v>
      </c>
      <c r="D19" s="17" t="s">
        <v>32</v>
      </c>
      <c r="E19" s="15" t="s">
        <v>73</v>
      </c>
      <c r="F19" s="17" t="s">
        <v>74</v>
      </c>
      <c r="G19" s="18" t="s">
        <v>75</v>
      </c>
      <c r="H19" s="17" t="s">
        <v>76</v>
      </c>
      <c r="I19" s="17" t="s">
        <v>150</v>
      </c>
    </row>
    <row r="20" spans="1:9" ht="18" customHeight="1">
      <c r="A20" s="21" t="s">
        <v>151</v>
      </c>
      <c r="B20" s="21"/>
      <c r="C20" s="21"/>
      <c r="D20" s="21"/>
      <c r="E20" s="21"/>
      <c r="F20" s="21"/>
      <c r="G20" s="21">
        <f>SUMIF(E2:E19,"Mua Hang",G2:G19)</f>
        <v>0</v>
      </c>
      <c r="H20" s="21">
        <f>18 khach hang</f>
        <v>0</v>
      </c>
      <c r="I20" s="21"/>
    </row>
  </sheetData>
  <mergeCells count="2">
    <mergeCell ref="A20:F20"/>
    <mergeCell ref="H20:I20"/>
  </mergeCells>
  <dataValidations count="2">
    <dataValidation type="list" allowBlank="1" showInputMessage="1" showErrorMessage="1" sqref="D2:D20">
      <formula1>"Zalo,Facebook,Website,Telegram,Gioi thieu"</formula1>
    </dataValidation>
    <dataValidation type="list" allowBlank="1" showInputMessage="1" showErrorMessage="1" sqref="E2:E20">
      <formula1>"Tu Van,Mua Hang,Cham Soc"</formula1>
    </dataValidation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showGridLines="0" workbookViewId="0"/>
  </sheetViews>
  <sheetFormatPr defaultRowHeight="15"/>
  <cols>
    <col min="1" max="1" width="12.7109375" customWidth="1"/>
    <col min="2" max="6" width="18.7109375" customWidth="1"/>
  </cols>
  <sheetData>
    <row r="1" spans="1:6" ht="28" customHeight="1">
      <c r="A1" s="22" t="s">
        <v>152</v>
      </c>
      <c r="B1" s="22" t="s">
        <v>153</v>
      </c>
      <c r="C1" s="22" t="s">
        <v>81</v>
      </c>
      <c r="D1" s="22" t="s">
        <v>92</v>
      </c>
      <c r="E1" s="22" t="s">
        <v>110</v>
      </c>
      <c r="F1" s="22" t="s">
        <v>154</v>
      </c>
    </row>
    <row r="2" spans="1:6" ht="16" customHeight="1">
      <c r="A2" s="16" t="s">
        <v>57</v>
      </c>
      <c r="B2" s="16">
        <v>24000000</v>
      </c>
      <c r="C2" s="16">
        <v>54000000</v>
      </c>
      <c r="D2" s="16">
        <v>44000000</v>
      </c>
      <c r="E2" s="16">
        <v>38000000</v>
      </c>
      <c r="F2" s="16">
        <f>SUM(B2:E2)</f>
        <v>0</v>
      </c>
    </row>
    <row r="3" spans="1:6" ht="16" customHeight="1">
      <c r="A3" s="18" t="s">
        <v>58</v>
      </c>
      <c r="B3" s="18">
        <v>32000000</v>
      </c>
      <c r="C3" s="18">
        <v>67500000</v>
      </c>
      <c r="D3" s="18">
        <v>66000000</v>
      </c>
      <c r="E3" s="18">
        <v>45000000</v>
      </c>
      <c r="F3" s="18">
        <f>SUM(B3:E3)</f>
        <v>0</v>
      </c>
    </row>
    <row r="4" spans="1:6" ht="16" customHeight="1">
      <c r="A4" s="16" t="s">
        <v>59</v>
      </c>
      <c r="B4" s="16">
        <v>28000000</v>
      </c>
      <c r="C4" s="16">
        <v>72000000</v>
      </c>
      <c r="D4" s="16">
        <v>55000000</v>
      </c>
      <c r="E4" s="16">
        <v>90000000</v>
      </c>
      <c r="F4" s="16">
        <f>SUM(B4:E4)</f>
        <v>0</v>
      </c>
    </row>
    <row r="5" spans="1:6" ht="16" customHeight="1">
      <c r="A5" s="18" t="s">
        <v>60</v>
      </c>
      <c r="B5" s="18">
        <v>36000000</v>
      </c>
      <c r="C5" s="18">
        <v>63000000</v>
      </c>
      <c r="D5" s="18">
        <v>44000000</v>
      </c>
      <c r="E5" s="18">
        <v>38000000</v>
      </c>
      <c r="F5" s="18">
        <f>SUM(B5:E5)</f>
        <v>0</v>
      </c>
    </row>
    <row r="6" spans="1:6" ht="16" customHeight="1">
      <c r="A6" s="16" t="s">
        <v>61</v>
      </c>
      <c r="B6" s="16">
        <v>40000000</v>
      </c>
      <c r="C6" s="16">
        <v>90000000</v>
      </c>
      <c r="D6" s="16">
        <v>66000000</v>
      </c>
      <c r="E6" s="16">
        <v>135000000</v>
      </c>
      <c r="F6" s="16">
        <f>SUM(B6:E6)</f>
        <v>0</v>
      </c>
    </row>
    <row r="7" spans="1:6" ht="18" customHeight="1">
      <c r="A7" s="23" t="s">
        <v>155</v>
      </c>
      <c r="B7" s="23">
        <f>SUM(A2:A6)</f>
        <v>0</v>
      </c>
      <c r="C7" s="23">
        <f>SUM(B2:B6)</f>
        <v>0</v>
      </c>
      <c r="D7" s="23">
        <f>SUM(C2:C6)</f>
        <v>0</v>
      </c>
      <c r="E7" s="23">
        <f>SUM(D2:D6)</f>
        <v>0</v>
      </c>
      <c r="F7" s="23">
        <f>SUM(B7:E7)</f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20.7109375" customWidth="1"/>
    <col min="4" max="4" width="12.7109375" customWidth="1"/>
    <col min="5" max="5" width="22.7109375" customWidth="1"/>
    <col min="6" max="6" width="8.7109375" customWidth="1"/>
    <col min="7" max="7" width="20.7109375" customWidth="1"/>
    <col min="8" max="8" width="26.7109375" customWidth="1"/>
  </cols>
  <sheetData>
    <row r="1" spans="1:8" ht="28" customHeight="1">
      <c r="A1" s="24" t="s">
        <v>24</v>
      </c>
      <c r="B1" s="24" t="s">
        <v>156</v>
      </c>
      <c r="C1" s="24" t="s">
        <v>157</v>
      </c>
      <c r="D1" s="24" t="s">
        <v>26</v>
      </c>
      <c r="E1" s="24" t="s">
        <v>158</v>
      </c>
      <c r="F1" s="24" t="s">
        <v>159</v>
      </c>
      <c r="G1" s="24" t="s">
        <v>160</v>
      </c>
      <c r="H1" s="24" t="s">
        <v>69</v>
      </c>
    </row>
    <row r="2" spans="1:8" ht="16" customHeight="1">
      <c r="A2" s="25" t="s">
        <v>70</v>
      </c>
      <c r="B2" s="25" t="s">
        <v>161</v>
      </c>
      <c r="C2" s="25" t="s">
        <v>31</v>
      </c>
      <c r="D2" s="25" t="s">
        <v>32</v>
      </c>
      <c r="E2" s="25" t="s">
        <v>162</v>
      </c>
      <c r="F2" s="25" t="s">
        <v>76</v>
      </c>
      <c r="G2" s="25" t="s">
        <v>39</v>
      </c>
      <c r="H2" s="25" t="s">
        <v>163</v>
      </c>
    </row>
    <row r="3" spans="1:8" ht="16" customHeight="1">
      <c r="A3" s="26" t="s">
        <v>70</v>
      </c>
      <c r="B3" s="26" t="s">
        <v>164</v>
      </c>
      <c r="C3" s="26" t="s">
        <v>37</v>
      </c>
      <c r="D3" s="26" t="s">
        <v>38</v>
      </c>
      <c r="E3" s="26" t="s">
        <v>165</v>
      </c>
      <c r="F3" s="26" t="s">
        <v>82</v>
      </c>
      <c r="G3" s="26" t="s">
        <v>166</v>
      </c>
      <c r="H3" s="26" t="s">
        <v>167</v>
      </c>
    </row>
    <row r="4" spans="1:8" ht="16" customHeight="1">
      <c r="A4" s="25" t="s">
        <v>70</v>
      </c>
      <c r="B4" s="25" t="s">
        <v>168</v>
      </c>
      <c r="C4" s="25" t="s">
        <v>43</v>
      </c>
      <c r="D4" s="25" t="s">
        <v>44</v>
      </c>
      <c r="E4" s="25" t="s">
        <v>169</v>
      </c>
      <c r="F4" s="25" t="s">
        <v>76</v>
      </c>
      <c r="G4" s="25" t="s">
        <v>46</v>
      </c>
      <c r="H4" s="25" t="s">
        <v>170</v>
      </c>
    </row>
    <row r="5" spans="1:8" ht="16" customHeight="1">
      <c r="A5" s="26" t="s">
        <v>78</v>
      </c>
      <c r="B5" s="26" t="s">
        <v>171</v>
      </c>
      <c r="C5" s="26" t="s">
        <v>48</v>
      </c>
      <c r="D5" s="26" t="s">
        <v>32</v>
      </c>
      <c r="E5" s="26" t="s">
        <v>49</v>
      </c>
      <c r="F5" s="26" t="s">
        <v>82</v>
      </c>
      <c r="G5" s="26" t="s">
        <v>172</v>
      </c>
      <c r="H5" s="26" t="s">
        <v>173</v>
      </c>
    </row>
    <row r="6" spans="1:8" ht="16" customHeight="1">
      <c r="A6" s="25" t="s">
        <v>78</v>
      </c>
      <c r="B6" s="25" t="s">
        <v>174</v>
      </c>
      <c r="C6" s="25" t="s">
        <v>52</v>
      </c>
      <c r="D6" s="25" t="s">
        <v>53</v>
      </c>
      <c r="E6" s="25" t="s">
        <v>175</v>
      </c>
      <c r="F6" s="25" t="s">
        <v>76</v>
      </c>
      <c r="G6" s="25" t="s">
        <v>176</v>
      </c>
      <c r="H6" s="25" t="s">
        <v>177</v>
      </c>
    </row>
    <row r="7" spans="1:8" ht="16" customHeight="1">
      <c r="A7" s="26" t="s">
        <v>78</v>
      </c>
      <c r="B7" s="26" t="s">
        <v>178</v>
      </c>
      <c r="C7" s="26" t="s">
        <v>108</v>
      </c>
      <c r="D7" s="26" t="s">
        <v>44</v>
      </c>
      <c r="E7" s="26" t="s">
        <v>179</v>
      </c>
      <c r="F7" s="26" t="s">
        <v>82</v>
      </c>
      <c r="G7" s="26" t="s">
        <v>180</v>
      </c>
      <c r="H7" s="26" t="s">
        <v>181</v>
      </c>
    </row>
    <row r="8" spans="1:8" ht="16" customHeight="1">
      <c r="A8" s="25" t="s">
        <v>84</v>
      </c>
      <c r="B8" s="25" t="s">
        <v>182</v>
      </c>
      <c r="C8" s="25" t="s">
        <v>148</v>
      </c>
      <c r="D8" s="25" t="s">
        <v>32</v>
      </c>
      <c r="E8" s="25" t="s">
        <v>183</v>
      </c>
      <c r="F8" s="25" t="s">
        <v>76</v>
      </c>
      <c r="G8" s="25" t="s">
        <v>184</v>
      </c>
      <c r="H8" s="25" t="s">
        <v>185</v>
      </c>
    </row>
    <row r="9" spans="1:8" ht="16" customHeight="1">
      <c r="A9" s="26" t="s">
        <v>84</v>
      </c>
      <c r="B9" s="26" t="s">
        <v>186</v>
      </c>
      <c r="C9" s="26" t="s">
        <v>121</v>
      </c>
      <c r="D9" s="26" t="s">
        <v>38</v>
      </c>
      <c r="E9" s="26" t="s">
        <v>187</v>
      </c>
      <c r="F9" s="26" t="s">
        <v>82</v>
      </c>
      <c r="G9" s="26" t="s">
        <v>188</v>
      </c>
      <c r="H9" s="26" t="s">
        <v>123</v>
      </c>
    </row>
    <row r="10" spans="1:8" ht="16" customHeight="1">
      <c r="A10" s="25" t="s">
        <v>89</v>
      </c>
      <c r="B10" s="25" t="s">
        <v>189</v>
      </c>
      <c r="C10" s="25" t="s">
        <v>124</v>
      </c>
      <c r="D10" s="25" t="s">
        <v>32</v>
      </c>
      <c r="E10" s="25" t="s">
        <v>190</v>
      </c>
      <c r="F10" s="25" t="s">
        <v>76</v>
      </c>
      <c r="G10" s="25" t="s">
        <v>191</v>
      </c>
      <c r="H10" s="25" t="s">
        <v>192</v>
      </c>
    </row>
    <row r="11" spans="1:8" ht="16" customHeight="1">
      <c r="A11" s="26" t="s">
        <v>89</v>
      </c>
      <c r="B11" s="26" t="s">
        <v>193</v>
      </c>
      <c r="C11" s="26" t="s">
        <v>128</v>
      </c>
      <c r="D11" s="26" t="s">
        <v>44</v>
      </c>
      <c r="E11" s="26" t="s">
        <v>194</v>
      </c>
      <c r="F11" s="26" t="s">
        <v>82</v>
      </c>
      <c r="G11" s="26" t="s">
        <v>195</v>
      </c>
      <c r="H11" s="26" t="s">
        <v>196</v>
      </c>
    </row>
    <row r="12" spans="1:8" ht="16" customHeight="1">
      <c r="A12" s="25" t="s">
        <v>94</v>
      </c>
      <c r="B12" s="25" t="s">
        <v>197</v>
      </c>
      <c r="C12" s="25" t="s">
        <v>90</v>
      </c>
      <c r="D12" s="25" t="s">
        <v>32</v>
      </c>
      <c r="E12" s="25" t="s">
        <v>198</v>
      </c>
      <c r="F12" s="25" t="s">
        <v>76</v>
      </c>
      <c r="G12" s="25" t="s">
        <v>199</v>
      </c>
      <c r="H12" s="25" t="s">
        <v>200</v>
      </c>
    </row>
    <row r="13" spans="1:8" ht="16" customHeight="1">
      <c r="A13" s="26" t="s">
        <v>94</v>
      </c>
      <c r="B13" s="26" t="s">
        <v>168</v>
      </c>
      <c r="C13" s="26" t="s">
        <v>95</v>
      </c>
      <c r="D13" s="26" t="s">
        <v>38</v>
      </c>
      <c r="E13" s="26" t="s">
        <v>201</v>
      </c>
      <c r="F13" s="26" t="s">
        <v>82</v>
      </c>
      <c r="G13" s="26" t="s">
        <v>202</v>
      </c>
      <c r="H13" s="26" t="s">
        <v>203</v>
      </c>
    </row>
    <row r="14" spans="1:8" ht="16" customHeight="1">
      <c r="A14" s="25" t="s">
        <v>98</v>
      </c>
      <c r="B14" s="25" t="s">
        <v>189</v>
      </c>
      <c r="C14" s="25" t="s">
        <v>113</v>
      </c>
      <c r="D14" s="25" t="s">
        <v>53</v>
      </c>
      <c r="E14" s="25" t="s">
        <v>204</v>
      </c>
      <c r="F14" s="25" t="s">
        <v>76</v>
      </c>
      <c r="G14" s="25" t="s">
        <v>134</v>
      </c>
      <c r="H14" s="25" t="s">
        <v>83</v>
      </c>
    </row>
    <row r="15" spans="1:8" ht="16" customHeight="1">
      <c r="A15" s="26" t="s">
        <v>98</v>
      </c>
      <c r="B15" s="26" t="s">
        <v>205</v>
      </c>
      <c r="C15" s="26" t="s">
        <v>104</v>
      </c>
      <c r="D15" s="26" t="s">
        <v>32</v>
      </c>
      <c r="E15" s="26" t="s">
        <v>206</v>
      </c>
      <c r="F15" s="26" t="s">
        <v>82</v>
      </c>
      <c r="G15" s="26" t="s">
        <v>207</v>
      </c>
      <c r="H15" s="26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Tong Quan</vt:lpstr>
      <vt:lpstr>DS Khach Hang</vt:lpstr>
      <vt:lpstr>Doanh Thu</vt:lpstr>
      <vt:lpstr>Lich Su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2026-05-25T15:43:41Z</dcterms:created>
  <dcterms:modified xsi:type="dcterms:W3CDTF">2026-05-25T15:43:41Z</dcterms:modified>
</cp:coreProperties>
</file>